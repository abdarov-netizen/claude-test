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1 Резюме" sheetId="1" r:id="rId1"/>
    <sheet name="02 Реестр идей" sheetId="2" r:id="rId2"/>
    <sheet name="03 Веса" sheetId="3" r:id="rId3"/>
    <sheet name="04 Первичный отсев" sheetId="4" r:id="rId4"/>
    <sheet name="05 Скоринг 3 прохода" sheetId="5" r:id="rId5"/>
    <sheet name="06 Свод и матрица" sheetId="6" r:id="rId6"/>
    <sheet name="06б Пересчёт и ворота" sheetId="7" r:id="rId7"/>
    <sheet name="07 Монте-Карло" sheetId="8" r:id="rId8"/>
    <sheet name="08 Помесячная модель" sheetId="9" r:id="rId9"/>
    <sheet name="09 Распределение NPV" sheetId="10" r:id="rId10"/>
    <sheet name="10 Чувствительность" sheetId="11" r:id="rId11"/>
    <sheet name="11 Критика" sheetId="12" r:id="rId12"/>
    <sheet name="12 Достоверность" sheetId="13" r:id="rId13"/>
  </sheets>
  <definedNames>
    <definedName name="_xlnm._FilterDatabase" localSheetId="1" hidden="1">'02 Реестр идей'!$A$1:$O$104</definedName>
    <definedName name="_xlnm._FilterDatabase" localSheetId="3" hidden="1">'04 Первичный отсев'!$A$1:$G$104</definedName>
    <definedName name="_xlnm._FilterDatabase" localSheetId="4" hidden="1">'05 Скоринг 3 прохода'!$A$2:$L$308</definedName>
  </definedNames>
  <calcPr calcId="124519" fullCalcOnLoad="1"/>
</workbook>
</file>

<file path=xl/sharedStrings.xml><?xml version="1.0" encoding="utf-8"?>
<sst xmlns="http://schemas.openxmlformats.org/spreadsheetml/2006/main" count="5257" uniqueCount="3763">
  <si>
    <t>Какой бизнес строить в Узбекистане — ФИНАЛЬНЫЕ ВЫВОДЫ</t>
  </si>
  <si>
    <t>КОРОТКИЙ ОТВЕТ</t>
  </si>
  <si>
    <t>Ни один из проверенных бизнесов не обыгрывает вашу текущую работу, если считать честно. Это не уклонение, а следствие барьера, который вы задали: депозит 19.7% плюс ваша зарплата $4 000/мес = $240 тыс. упущенного за пять лет.</t>
  </si>
  <si>
    <t>ЧТО ДЕЛАТЬ</t>
  </si>
  <si>
    <t>НЕ УВОЛЬНЯТЬСЯ. Запускать параллельно работе. Лучший из проверенных — страховой брокер спецлиний: ожидаемый NPV $199 тыс. до вычета зарплаты и около нуля после.</t>
  </si>
  <si>
    <t>ПЕРВЫЙ ОТВЕТ РАЗВАЛИЛСЯ</t>
  </si>
  <si>
    <t>Побеждала исламская финансовая практика ($345 тыс.). Приказ ЦБ (Минюст, 17.07.2026) требует для 3 обязательных кресел, включая главу и зама, высшего ИСЛАМОВЕДЧЕСКОГО образования, 5 лет шариатского права и арабского. Финансист туда не проходит. После сведения: -$31 тыс.</t>
  </si>
  <si>
    <t>ПОЧЕМУ БРОКЕР</t>
  </si>
  <si>
    <t>Спрос идёт ОТ КРЕДИТОРА: банк под эскроу требует покрытия строймонтажных рисков. Комиссия 10-20% от премии, возобновление ежегодное, капзатрат почти нет. И главное — брокерская книга ОТЧУЖДАЕМА, её можно продать.</t>
  </si>
  <si>
    <t>ГЛАВНЫЙ РЫЧАГ</t>
  </si>
  <si>
    <t>Стоимость привлечения клиента (размах $503 тыс.) и средняя комиссия ($446 тыс.). Задержка запуска на третьем месте ($239 тыс.) — время дороже, чем кажется.</t>
  </si>
  <si>
    <t>ЗАКОНОМЕРНОСТЬ</t>
  </si>
  <si>
    <t>У ВСЕХ кандидатов медиана отрицательная, а матожидание положительное. Ни один не является надёжно прибыльным: все они опционы, где деньги делает правый хвост, а типичный исход неудачный.</t>
  </si>
  <si>
    <t>ВОРОТА ПО ВЫХОДУ</t>
  </si>
  <si>
    <t>Вы просили и поток, И ОПЦИОН НА ВЫХОД, но выход весил лишь 5.6%. С воротами (выход не ниже 5/10) прошли 3 идеи из 17: C&amp;I-энергетика, страховой брокер, контрактное производство медизделий. Все консультационные практики отсеялись — их нельзя продать.</t>
  </si>
  <si>
    <t>ОШИБКА В МОЕЙ МЕТОДОЛОГИИ</t>
  </si>
  <si>
    <t>Протокол «три независимых прохода» оказался самообманом: скептик был ниже базы в 100% из 238 ячеек, арбитр — ровно посередине в 74%, ранговая корреляция 0.98. Разброс измерял размер моей скидки, а не разногласие.</t>
  </si>
  <si>
    <t>НАСТОЯЩИЙ ФИЛЬТР</t>
  </si>
  <si>
    <t>Не рынок, а размер вашего кошелька. Идеи с сильнейшим рынком (холодовая цепь, C&amp;I-энергетика, медизделия) требуют $1.5-6 млн и с $150 тыс. недоступны напрямую.</t>
  </si>
  <si>
    <t>НЕУДОБНЫЙ ВОПРОС</t>
  </si>
  <si>
    <t>Один success fee 1% по сделке на $50 млн = $500 тыс. — больше, чем весь пятилетний NPV любого из проверенных бизнесов. Вы хотите построить бизнес или заработать денег? Это разные задачи.</t>
  </si>
  <si>
    <t>ПРОВЕРИТЬ ДО ТРАТ</t>
  </si>
  <si>
    <t>(1) сроки и стоимость брокерской лицензии; (2) признаёт ли ЦБ ваш CPSS для 4-5 кресла; (3) разрешена ли прямая продажа электроэнергии «за счётчиком».</t>
  </si>
  <si>
    <t>КАК ЧИТАТЬ ЭТУ КНИГУ</t>
  </si>
  <si>
    <t>02 Реестр идей</t>
  </si>
  <si>
    <t>Все 103 идеи с NABC, аналогом, окном и конкурентами.</t>
  </si>
  <si>
    <t>03 Веса</t>
  </si>
  <si>
    <t>Веса осей, зафиксированные ДО скоринга. Суммы обеих осей = 1.000.</t>
  </si>
  <si>
    <t>04 Первичный отсев</t>
  </si>
  <si>
    <t>Быстрые оценки всех 103 идей с обоснованием одной строкой.</t>
  </si>
  <si>
    <t>05 Скоринг 3 прохода</t>
  </si>
  <si>
    <t>Покритериально: база / скептик / арбитр, разброс и ст.откл.</t>
  </si>
  <si>
    <t>06 Свод и матрица</t>
  </si>
  <si>
    <t>Итоговые оси и положение в матрице девяти клеток.</t>
  </si>
  <si>
    <t>07 Монте-Карло</t>
  </si>
  <si>
    <t>5 сценариев на идею, 20 000 прогонов каждый.</t>
  </si>
  <si>
    <t>08 Помесячная модель</t>
  </si>
  <si>
    <t>60 месяцев по победителю: квартили выручки, EBITDA, кассы.</t>
  </si>
  <si>
    <t>09 Распределение NPV</t>
  </si>
  <si>
    <t>Перцентили и гистограмма исходов.</t>
  </si>
  <si>
    <t>10 Чувствительность</t>
  </si>
  <si>
    <t>Торнадо: что двигает результат сильнее всего.</t>
  </si>
  <si>
    <t>11 Критика</t>
  </si>
  <si>
    <t>Что нашли круги критики и что из-за этого изменилось.</t>
  </si>
  <si>
    <t>12 Достоверность</t>
  </si>
  <si>
    <t>Уровни достоверности фактов и что обязательно проверить у юриста.</t>
  </si>
  <si>
    <t>ID</t>
  </si>
  <si>
    <t>Название</t>
  </si>
  <si>
    <t>Арена</t>
  </si>
  <si>
    <t>Суть</t>
  </si>
  <si>
    <t>Кто платит</t>
  </si>
  <si>
    <t>Модель дохода и чек</t>
  </si>
  <si>
    <t>N — потребность</t>
  </si>
  <si>
    <t>A — подход</t>
  </si>
  <si>
    <t>B — выгода</t>
  </si>
  <si>
    <t>C — конкуренты и почему свободно</t>
  </si>
  <si>
    <t>Доказанный аналог</t>
  </si>
  <si>
    <t>Структурное окно</t>
  </si>
  <si>
    <t>Стартовый капитал</t>
  </si>
  <si>
    <t>Лицензии</t>
  </si>
  <si>
    <t>Риск №1</t>
  </si>
  <si>
    <t>FIN-01</t>
  </si>
  <si>
    <t>Шариатский аудит, шариатские советы и сертификация исламских продуктов</t>
  </si>
  <si>
    <t>Финансы и капитал (исламские финансы)</t>
  </si>
  <si>
    <t>Независимая фирма, которая укомплектовывает банкам шариатские советы, пишет фетвы на продукты, ведёт внутренний и внешний шариатский аудит и выдаёт сертификаты соответствия AAOIFI.</t>
  </si>
  <si>
    <t>Коммерческие банки, открывающие «исламские окна», лизинговые и микрофинансовые организации, страховщики (такафул), эмитенты сукук.</t>
  </si>
  <si>
    <t>Ретейнер за шариатский совет $2-6 тыс./мес на клиента + разовая сертификация продукта $5-15 тыс. + годовой шариатский аудит $15-40 тыс. (оценка).</t>
  </si>
  <si>
    <t>Закон ЗРУ-1126 требует шариатских советов, а в стране нет ни одного сертифицированного по AAOIFI шариатского аудитора — банк без заключения не может запустить окно и теряет год.</t>
  </si>
  <si>
    <t>Пул из 3-5 местных улемов + 1-2 внешних сертифицированных советника (Малайзия/Бахрейн/Пакистан) как «арендуемый шариатский совет», плюс методология аудита и обучение узбекских кадров на AAOIFI CSAA.</t>
  </si>
  <si>
    <t>Банку дешевле платить $50-80 тыс./год за внешний совет, чем содержать штатный совет с иностранцами (оценка $200+ тыс.); альтернатива — сдвиг запуска окна на 12 месяцев.</t>
  </si>
  <si>
    <t>Ближайшие игроки: Big4 в Ташкенте (PwC/Deloitte/KPMG/EY) делают финаудит, но не шариатский; Trustbank, Ipoteka Bank, Kapitalbank ищут экспертизу сами | Заменители: разовый найм консультанта из Дубая, копирование малайзийских шаблонов | Почему свободно: регулятор новый (Совет по исламским финансам при ЦБ создан только в 2026), рынок мал для глобальных шариатских домов, местных сертифицированных кадров нет.</t>
  </si>
  <si>
    <t>Amanie Advisors (Малайзия) — шариатский консалтинг, обслуживает институты в 20+ странах, офисы в Куала-Лумпуре, Дубае, Лондоне; в Казахстане аналогичную роль при AIFC играет отдельный шариатский совет МФЦА.</t>
  </si>
  <si>
    <t>ЗРУ-1126 от 27.03.2026, вступил в силу 29.06.2026; обязательные шариатские советы при ЦБ и коммерческих банках; 10+ кредитных организаций готовят «исламские окна» до конца 2026, к 2030 — два полноценных исламских банка.</t>
  </si>
  <si>
    <t>80-150 тыс.</t>
  </si>
  <si>
    <t>Лицензии нет; критична аккредитация/признание Советом по исламским финансам при ЦБ и сертификаты AAOIFI у партнёров.</t>
  </si>
  <si>
    <t>ЦБ создаст государственную монополию на сертификацию через свой Совет и вытеснит частных аудиторов.</t>
  </si>
  <si>
    <t>FIN-02</t>
  </si>
  <si>
    <t>Такафул-оператор (исламское страхование)</t>
  </si>
  <si>
    <t>Финансы и капитал (исламские финансы + страхование)</t>
  </si>
  <si>
    <t>Страховая компания или «такафул-окно» при действующем страховщике, продающая семейный и общий такафул через исламские окна банков как встроенный продукт к мурабахе и иджаре.</t>
  </si>
  <si>
    <t>Розничные клиенты исламских окон (обязательное покрытие предмета иджары/мурабахи), МСБ, аграрии.</t>
  </si>
  <si>
    <t>Вакала-комиссия оператора 20-35% от взносов + доля в прибыли инвестпула (мудараба); средний полис $30-150/год розница, $1-5 тыс. корпоратив (оценка).</t>
  </si>
  <si>
    <t>Исламское финансирование требует шариатски совместимого покрытия залога, но конвенциональный полис в мурабахе неприемлем — без такафула банк не может закрыть риск, а клиент отказывается страховаться.</t>
  </si>
  <si>
    <t>Партнёрство с существующим страховщиком (окно) вместо новой лицензии на старте: отдельный фонд участников, шариатский совет, бухгалтерская сегрегация; дистрибуция — эксклюзив с 2-3 исламскими окнами.</t>
  </si>
  <si>
    <t>Банку такафул закрывает 100% залоговых рисков портфеля иджары без нарушения шариата; клиенту тариф сопоставим с обычным ОСАГО/КАСКО плюс возврат излишка (surplus sharing).</t>
  </si>
  <si>
    <t>Ближайшие игроки: Uzbekinvest, Gross Insurance, Apex Insurance, Alskom, Kafolat — такафула ни у кого нет (не подтверждено обратное) | Заменители: обычный полис, либо клиент вообще не страхуется | Почему свободно: закон о такафуле как отдельном продукте только формируется, страховщики ждут спроса от банков, а банки ждут продукта — классический курино-яичный лаг.</t>
  </si>
  <si>
    <t>Etiqa Takaful (Малайзия) — один из крупнейших такафул-операторов ЮВА; Takaful Pakistan / Pak-Qatar Family Takaful — построены на банковской дистрибуции; в Казахстане «Такафул» развивается на базе Al Hilal Bank.</t>
  </si>
  <si>
    <t>ЗРУ-1126 (в силе 29.06.2026) разрешил мудараба/вакала/мурабаха/иджара — именно те договорные формы, на которых стоит такафул; 10+ банков открывают окна до конца 2026 = дистрибуция появляется единовременно.</t>
  </si>
  <si>
    <t>300 тыс. (окно при партнёре) — 3-5 млн (собственная лицензия, зависит от требований к уставному капиталу).</t>
  </si>
  <si>
    <t>Лицензия страховщика (закон «О страховой деятельности» ЗРУ-730), согласование продукта с шариатским советом; отдельного такафул-регулирования пока нет — риск правовой неопределённости.</t>
  </si>
  <si>
    <t>Отсутствие профильного регулирования такафула: сегрегация фонда участников может не признаваться налоговой и надзором.</t>
  </si>
  <si>
    <t>FIN-03</t>
  </si>
  <si>
    <t>Сукук-структурирование и исламский лизинг (иджара) через НКО</t>
  </si>
  <si>
    <t>Финансы и капитал (исламские финансы + рынок капитала)</t>
  </si>
  <si>
    <t>Бутик, который упаковывает корпоративные активы в сукук аль-иджара и параллельно ведёт собственную небанковскую иджара-книгу как «витрину» и источник базовых активов.</t>
  </si>
  <si>
    <t>Корпоративные эмитенты (девелоперы, энергетика, агрохолдинги), госкомпании, а в лизинговой части — МСБ.</t>
  </si>
  <si>
    <t>Структурирующая комиссия 1-2% от объёма выпуска (сделка $10-50 млн = $150-700 тыс.) + спред по собственной иджара-книге 8-14 п.п. над фондированием (оценка).</t>
  </si>
  <si>
    <t>У узбекских эмитентов нет доступа к халяльному капиталу Залива и Малайзии, а внутренние ставки высокие (депозит в сумах 19.7%); долларовый сукук от исламских инвесторов — заметно дешевле.</t>
  </si>
  <si>
    <t>SPV-структура иджара/вакала, шариатское заключение (см. FIN-01), листинг на РФБ «Тошкент» и/или Astana/Nasdaq Dubai, маркетинг среди IsDB/ICD и заливных фондов.</t>
  </si>
  <si>
    <t>Экономия для эмитента: разница между сумовой ставкой и долларовым сукуком — оценка 6-10 п.п. годовых, что на $30 млн даёт $2-3 млн/год; комиссия структуратора окупается за квартал.</t>
  </si>
  <si>
    <t>Ближайшие игроки: локальные брокеры и инвесткомпании при рынке капитала, Avesta Investment Group, Alkes Research (аналитика), международные банки в сделках суверенных еврооблигаций | Заменители: банковский кредит, суверенные евробонды, прямой заём от IsDB | Почему свободно: до 29.06.2026 не было правовой базы под исламские договоры, сукук как класс только вводится проектом нового закона о рынке капитала от 13.08.2026.</t>
  </si>
  <si>
    <t>Казахстан — дебютный сукук на площадке AIFC и выпуски ИБР; Малайзия — RHB Islamic / Maybank Islamic как структураторы; Пакистан — регулярные суверенные и корпоративные сукук-выпуски.</t>
  </si>
  <si>
    <t>Проект нового закона о рынке капитала (16 глав, 123 статьи, представлен 13.08.2026) прямо предусматривает внедрение сукук, деривативов, секьюритизированных и валютных облигаций; ЗРУ-1126 легализовал иджару.</t>
  </si>
  <si>
    <t>250-500 тыс. на консалтинговую часть; 3-10 млн если запускать собственную иджара-книгу.</t>
  </si>
  <si>
    <t>Для консалтинга — нет; для андеррайтинга — лицензия инвестиционного посредника НАПП; для лизинга — постановка на учёт как НКО/лизингодателя.</t>
  </si>
  <si>
    <t>Закон о рынке капитала останется проектом или сукук выпадет из финальной редакции — тогда инструмента просто нет.</t>
  </si>
  <si>
    <t>FIN-04</t>
  </si>
  <si>
    <t>IR-агентство и подготовка отчётности эмитентов (IPO-readiness)</t>
  </si>
  <si>
    <t>Финансы и капитал (рынок капитала)</t>
  </si>
  <si>
    <t>Агентство полного цикла Investor Relations: МСФО-отчётность, годовой отчёт, инвест-презентации, корпоративное управление и раскрытие информации для компаний, идущих на биржу или уже разместившихся.</t>
  </si>
  <si>
    <t>Эмитенты акций и облигаций, госкомпании из приватизационного списка, компании, готовящиеся к IPO/SPO.</t>
  </si>
  <si>
    <t>IPO-readiness проект $80-250 тыс., постоянный IR-ретейнер $4-10 тыс./мес, подготовка годового отчёта $15-40 тыс. (оценка).</t>
  </si>
  <si>
    <t>После IPO UzNIF на LSE (18.05.2026, привлечено ~$603.6 млн, 31% фонда, оценка ~$1.95 млрд) планка раскрытия задана лондонская, а внутри страны почти нет команд, умеющих делать МСФО + IR по стандартам LSE.</t>
  </si>
  <si>
    <t>Гибридная команда: местные финансисты + приглашённый IR-директор с опытом LSE/Варшавы; продуктовая линейка от «диагностика готовности» до полного сопровождения размещения.</t>
  </si>
  <si>
    <t>Дефицит раскрытия прямо стоит эмитенту дисконта в оценке; профессиональный IR — оценка 10-20% к мультипликатору при размещении против затрат в $150 тыс.</t>
  </si>
  <si>
    <t>Ближайшие игроки: Big4 (аудит и трансформация в МСФО), локальные PR-агентства (не финансовые), Alkes Research | Заменители: своими силами силами финдиректора, разовый найм лондонского консультанта | Почему свободно: спрос возник буквально в 2026 году, глобальные IR-агентства не заходят из-за размера рынка, локальные PR не владеют МСФО и правилами раскрытия.</t>
  </si>
  <si>
    <t>Казахстан — Tengri Partners и локальные IR-бутики вокруг программы «Народное IPO» (КазМунайГаз, Эйр Астана, Казахтелеком); Польша 2005-2008 — рост индустрии IR вокруг WSE и NewConnect.</t>
  </si>
  <si>
    <t>Объём торгов на бирже вырос с 2.9 до 17.6 трлн сум за 2023-2025 (~6x); прогноз НАПП: привлечение через фондовый рынок 10 трлн сум в 2026 и 20 трлн к 2030; IPO UzNIF на LSE + Ташкент.</t>
  </si>
  <si>
    <t>100-200 тыс.</t>
  </si>
  <si>
    <t>Лицензии нет; аудит требует отдельной аудиторской лицензии (лучше не совмещать — конфликт независимости).</t>
  </si>
  <si>
    <t>Пайплайн IPO окажется тонким: одна-две сделки в год не кормят агентство.</t>
  </si>
  <si>
    <t>FIN-05</t>
  </si>
  <si>
    <t>Независимый регистратор и трансфер-агент, корпоративные действия</t>
  </si>
  <si>
    <t>Финансы и капитал (рынок капитала, инфраструктура)</t>
  </si>
  <si>
    <t>Специализированный регистратор/трансфер-агент, ведущий реестры акционеров, дивидендные выплаты, электронное голосование и общие собрания для эмитентов и фондов.</t>
  </si>
  <si>
    <t>АО и эмитенты облигаций, инвестиционные фонды, компании после приватизации.</t>
  </si>
  <si>
    <t>Абонентская плата за ведение реестра $500-3 000/мес в зависимости от числа акционеров + разовые корпоративные действия (ОСА, дивиденды, допэмиссия) $3-15 тыс. (оценка).</t>
  </si>
  <si>
    <t>После народных размещений и приватизации у эмитентов появляются десятки тысяч мелких акционеров — вручную вести реестр, выплачивать дивиденды и собирать кворум невозможно, а сорванное ОСА блокирует решения.</t>
  </si>
  <si>
    <t>Лицензированный регистратор с собственным ПО: реестр, e-voting через мобильную идентификацию, автоматическая дивидендная выплата на карты HUMO/UZCARD, интеграция с Центральным депозитарием.</t>
  </si>
  <si>
    <t>Эмитенту дешевле $2 тыс./мес аутсорса, чем штат из 3-4 человек плюс юридические риски оспаривания собраний; для акционера — дивиденды приходят на карту, а не в кассу.</t>
  </si>
  <si>
    <t>Ближайшие игроки: Центральный депозитарий ценных бумаг, действующие инвестпосредники с депозитарной лицензией, банки-депозитарии | Заменители: реестр в Excel у корпоративного секретаря, ведение через депозитарий банка | Почему свободно: новый закон вводит отдельное понятие кастодиана и расширяет полномочия НАПП — то есть роли только сейчас разделяются, а спрос от массовых размещений создаётся впервые.</t>
  </si>
  <si>
    <t>Computershare (глобально, но механика переносима); Казахстан — АО «Единый регистратор ценных бумаг»; Грузия — регистраторы вокруг GSE после приватизации 2000-х.</t>
  </si>
  <si>
    <t>Проект закона о рынке капитала от 13.08.2026: вводится понятие кастодиана, иностранцам разрешают напрямую открывать счета в Центральном депозитарии, НАПП получает право приостанавливать брокерскую/андеррайтинговую/депозитарную деятельность до 3 месяцев.</t>
  </si>
  <si>
    <t>300-700 тыс. (ПО, лицензия, требования к капиталу — уточнить).</t>
  </si>
  <si>
    <t>Лицензия НАПП на деятельность по ведению реестра/депозитарную; требования к ПО и хранению данных.</t>
  </si>
  <si>
    <t>Государство сохранит функцию за Центральным депозитарием и частных регистраторов не допустит.</t>
  </si>
  <si>
    <t>FIN-06</t>
  </si>
  <si>
    <t>Рыночные данные и индексы Узбекистана</t>
  </si>
  <si>
    <t>Финансы и капитал (рынок капитала, данные)</t>
  </si>
  <si>
    <t>Провайдер рыночных данных: чистые исторические котировки, корпоративная база эмитентов, семейство индексов акций и облигаций РУз, терминал и API по подписке.</t>
  </si>
  <si>
    <t>Брокеры, банки-казначейства, фонды, иностранные инвесторы, аудиторы и оценщики, медиа.</t>
  </si>
  <si>
    <t>Подписка $200-1 500/мес на пользователя, корпоративная лицензия $10-50 тыс./год, лицензирование индекса под фонд — 2-5 б.п. от активов (оценка).</t>
  </si>
  <si>
    <t>Иностранный инвестор после IPO UzNIF не может получить нормальные исторические ряды, free float, корпоративные действия и мультипликаторы по узбекским эмитентам — данные разбросаны по сайтам биржи, НАПП и эмитентов.</t>
  </si>
  <si>
    <t>Скрейпинг и договорной доступ к первичным источникам (биржа, депозитарий, НАПП, госстат), нормализация, англоязычный интерфейс, расчёт индексов по прозрачной методологии с внешним индекс-комитетом.</t>
  </si>
  <si>
    <t>Для фонда, инвестирующего $5 млн, одна ошибка из-за грязных данных дороже, чем годовая подписка $20 тыс.; для брокера — готовая аналитика вместо содержания ресёрч-отдела.</t>
  </si>
  <si>
    <t>Ближайшие игроки: Alkes Research, аналитика брокеров, сама РФБ «Тошкент», Kursiv/Spot как медиа | Заменители: ручные выгрузки с сайта биржи, Excel-файлы, Bloomberg (Узбекистан покрыт фрагментарно) | Почему свободно: рынок слишком мал для FTSE/MSCI/Bloomberg, чтобы строить локальное покрытие, но уже достаточно велик, чтобы данные были нужны.</t>
  </si>
  <si>
    <t>Казахстан — KASE Index и локальные data-провайдеры; Вьетнам — FiinGroup (рыночные данные и рейтинги, обслуживает банки и фонды); Румыния 2005-2015 — рост локальных data-домов вокруг BVB.</t>
  </si>
  <si>
    <t>Проект закона о рынке капитала (13.08.2026) даёт иностранным инвесторам прямой доступ к Центральному депозитарию — значит появляется класс покупателей, которым нужны данные на английском.</t>
  </si>
  <si>
    <t>150-300 тыс.</t>
  </si>
  <si>
    <t>Лицензии нет; нужны договоры на распространение данных с биржей и депозитарием (риск отказа).</t>
  </si>
  <si>
    <t>Биржа сама начнёт продавать данные и откажет в лицензии на перепродажу.</t>
  </si>
  <si>
    <t>FIN-07</t>
  </si>
  <si>
    <t>Бутик sell-side M&amp;A и приватизационного советника с оценочной практикой</t>
  </si>
  <si>
    <t>Финансы и капитал (приватизация и M&amp;A)</t>
  </si>
  <si>
    <t>Независимый советник, который готовит госактивы и частные компании к продаже — оценка, vendor due diligence, инфомеморандум, data room, поиск покупателей и переговоры.</t>
  </si>
  <si>
    <t>Агентство по управлению госактивами и его портфельные компании, частные собственники при выходе, иностранные покупатели (buy-side мандаты).</t>
  </si>
  <si>
    <t>Ретейнер $10-25 тыс./мес + success fee 1.5-4% от суммы сделки (сделка $10-50 млн = $200 тыс.-1.5 млн); оценочные отчёты $5-30 тыс. (оценка).</t>
  </si>
  <si>
    <t>Приватизация госбанков перенесена на 2027 — у продавца нет подготовленных активов: нет МСФО за 3 года, нет чистой структуры собственности, нет оценки, признаваемой международным покупателем.</t>
  </si>
  <si>
    <t>Двойной продукт: (а) предпродажная подготовка активов по чек-листу международного покупателя, (б) собственная оценочная лицензия для отчётов, признаваемых банками и судом.</t>
  </si>
  <si>
    <t>Подготовленный актив продаётся с премией — по опыту приватизаций в регионе разница между «как есть» и подготовленным активом достигает десятков процентов (оценка); success fee платится только с результата.</t>
  </si>
  <si>
    <t>Ближайшие игроки: Big4 (корпфин-практики), международные банки на крупных мандатах, локальные оценщики без сделочной экспертизы, Avesta Investment Group | Заменители: продажа через прямые переговоры без советника, тендер на бирже | Почему свободно: перенос приватизации на 2027 дал год подготовки, а Big4 конфликтуют между аудитом и сделками, локальные оценщики не умеют vendor DD.</t>
  </si>
  <si>
    <t>Польша 1998-2008 — волна приватизационных бутиков вокруг Варшавской биржи; Казахстан — Tengri Partners в приватизационной программе; Грузия — консультанты приватизации 2004-2008.</t>
  </si>
  <si>
    <t>Приватизация госбанков официально перенесена на 2027; ГЧП в социнфраструктуре открыто 08.09.2026 (частные инвесторы в крупные вузы и республиканские медцентры) — оба потока требуют оценки и структурирования.</t>
  </si>
  <si>
    <t>150-400 тыс. (на 12-18 месяцев до первого success fee).</t>
  </si>
  <si>
    <t>Лицензия оценщика для оценочной части; для организации размещений — лицензия инвестпосредника НАПП.</t>
  </si>
  <si>
    <t>Мандаты по госактивам распределяются нерыночно, а приватизация 2027 снова сдвигается.</t>
  </si>
  <si>
    <t>FIN-08</t>
  </si>
  <si>
    <t>Небанковская факторинговая компания (реверс-факторинг под госзакупки и сети)</t>
  </si>
  <si>
    <t>Финансы и капитал (небанковское кредитование)</t>
  </si>
  <si>
    <t>НКО-факторинг, выкупающая дебиторку поставщиков у крупных дебиторов с хорошим кредитом — госзаказчиков, ритейл-сетей, операторов связи и энергетики.</t>
  </si>
  <si>
    <t>Поставщики-МСБ (комиссия за досрочную оплату), в реверс-модели — сам крупный дебитор.</t>
  </si>
  <si>
    <t>Дисконт 1.5-3% за 30-45 дней (эффективная 20-30% годовых), средняя уступка $10-80 тыс.; целевой портфель $3-8 млн на 2-й год (оценка).</t>
  </si>
  <si>
    <t>Поставщик по госконтракту ждёт оплату 60-120 дней и кассово тонет; банковский кредит требует залога, которого у торговой компании нет, а деньги нужны под уже подтверждённую поставку.</t>
  </si>
  <si>
    <t>Реверс-факторинг: скоринг не поставщика, а дебитора; интеграция с Электронной платформой факторинговых услуг (связана с электронным правительством, ГНК и ЕЭИСВО) — верификация счёта-фактуры и уступки без бумаг.</t>
  </si>
  <si>
    <t>Поставщику эффективные 25% годовых на 45 дней дешевле, чем упущенный контракт или неформальный заём под 4-5%/мес; дебитор получает лояльных поставщиков без удлинения собственных сроков.</t>
  </si>
  <si>
    <t>Ближайшие игроки: факторинговые продукты банков — Национальный банк, Kapitalbank, Hamkorbank, Ipoteka Bank; появляющиеся небанковские факторинговые организации в реестре ЦБ | Заменители: овердрафт, товарный кредит, ростовщический заём, простое ожидание оплаты | Почему свободно: банки требуют регресс и залог и не хотят работать с чеком $20 тыс.; небанковский факторинг разрешён только с 01.01.2025, игроков мало.</t>
  </si>
  <si>
    <t>Nexi/Comfino и рынок факторинга Польши 2000-х; Индия — KredX (факторинг дебиторки МСБ, работает на TReDS); Египет — Drosos/факторинговые компании под надзором FRA.</t>
  </si>
  <si>
    <t>УП-109 от 12.08.2024 «О мерах по ускоренному развитию рынка факторинговых услуг»; с 01.01.2025 факторинг разрешён небанковским кредитным организациям после внесения в реестр ЦБ; операции идут через Электронную платформу факторинговых услуг.</t>
  </si>
  <si>
    <t>1-3 млн (собственный капитал + кредитная линия).</t>
  </si>
  <si>
    <t>Постановка на учёт в реестре НКО/факторинговых организаций ЦБ; требования к минимальному капиталу уточнить.</t>
  </si>
  <si>
    <t>Кредитный риск концентрируется на нескольких дебиторах; бюджетные задержки по госконтрактам обнуляют модель.</t>
  </si>
  <si>
    <t>FIN-09</t>
  </si>
  <si>
    <t>Лизинг оборудования по vendor-модели (агро-, мед- и промтехника)</t>
  </si>
  <si>
    <t>Лизинговая компания, встроенная в точку продажи оборудования: одобрение сделки у дилера за час, оборудование остаётся в собственности лизингодателя как залог.</t>
  </si>
  <si>
    <t>Фермеры, частные клиники, малые производства, логистические компании; дилеры платят за конверсию (субсидированная ставка).</t>
  </si>
  <si>
    <t>Лизинговая маржа 8-14 п.п. над фондированием; средняя сделка $20-150 тыс.; комиссия за организацию 1-2%.</t>
  </si>
  <si>
    <t>Покупателю оборудования нужен залог, которого у него нет, и 2-6 недель на банковское решение; дилер теряет сделку, потому что клиент не может заплатить сразу.</t>
  </si>
  <si>
    <t>Vendor-программы с 5-15 дилерами (техника, медоборудование, холодильное оборудование), скоринг по денежному потоку и предмету лизинга, страхование предмета, выкуп техники дилером при дефолте (buy-back соглашение).</t>
  </si>
  <si>
    <t>Клиенту платёж вместо единовременной цены; при 3-летнем лизинге $60 тыс. переплата укладывается в ~30% против невозможности купить вообще; дилеру — рост продаж без товарного кредита.</t>
  </si>
  <si>
    <t>Ближайшие игроки: Uzbek Leasing International, лизинговые дочки банков (Ipoteka, Asakabank, Hamkorbank), Alif с розничной рассрочкой | Заменители: банковский кредит под залог недвижимости, товарный кредит от поставщика, покупка б/у за наличные | Почему свободно: банковские лизинги медленные и залоговые; частные клиники (3 200 в 2016 → ожидается 8 700 к концу 2026) и агро с холодовой цепью — новые классы спроса без профильного лизингодателя.</t>
  </si>
  <si>
    <t>Индонезия — BFI Finance (лизинг техники, публичная компания, миллионы клиентов); Турция — İş Leasing/Garanti Leasing на оборудовании МСБ; Пакистан — ORIX Leasing Pakistan.</t>
  </si>
  <si>
    <t>$200 млн льготных кредитов на новые частные клиники и разрешение частникам работать за счёт бюджета по всем направлениям с 01.07.2026 → волна закупок медоборудования; в агро потери урожая оцениваются в $1.2-1.7 млрд/год, что тянет спрос на холодильное и сортировочное оборудование.</t>
  </si>
  <si>
    <t>2-5 млн.</t>
  </si>
  <si>
    <t>Закон «О лизинге»; постановка на учёт лизингодателя; налоговые особенности НДС по лизингу.</t>
  </si>
  <si>
    <t>Фондирование: без дешёвой линии от IFC/EBRD/АБР маржа съедается стоимостью денег при депозите 19.7%.</t>
  </si>
  <si>
    <t>FIN-10</t>
  </si>
  <si>
    <t>B2B BNPL и финансирование дистрибуции (торговое финансирование МСБ)</t>
  </si>
  <si>
    <t>Платформа отсрочки платежа для розничных точек, аптек и кафе при закупке у дистрибьюторов FMCG/фармы, плюс финансирование импортных контрактов малых импортёров.</t>
  </si>
  <si>
    <t>Магазины и аптеки (комиссия за отсрочку) и дистрибьюторы (за снятие дебиторки с баланса).</t>
  </si>
  <si>
    <t>2-3.5% за 30 дней отсрочки; средний тикет $500-5 000, оборачиваемость 12 раз в год; целевой портфель $2-5 млн (оценка).</t>
  </si>
  <si>
    <t>Дистрибьютор фактически кредитует тысячи точек своим товаром, замораживая оборотный капитал; точка без отсрочки закупает меньше ассортимента и теряет выручку.</t>
  </si>
  <si>
    <t>Интеграция с ERP дистрибьютора, скоринг по истории закупок точки (а не по финотчётности), лимит на точку, выплата дистрибьютору сразу, сбор с точки через 30 дней; для импорта — финансирование под контракт и залог товара на складе.</t>
  </si>
  <si>
    <t>Дистрибьютор высвобождает оборотку и растёт по объёму продаж; точка получает больше ассортимента за 2.5% в месяц против неформального займа 4-6%/мес.</t>
  </si>
  <si>
    <t>Ближайшие игроки: Alif (Nasiya — розничная рассрочка, &gt;1 млн пользователей, ~30% рынка рассрочки), Uzum Nasiya, Anor, Iman (халяльная рассрочка), банковские овердрафты | Заменители: товарный кредит от самого дистрибьютора, наличный оборот, займы у знакомых | Почему свободно: все крупные игроки бьются за B2C-рассрочку; B2B-канал требует ERP-интеграций и другого скоринга, поэтому не занят.</t>
  </si>
  <si>
    <t>Индонезия — GudangAda и BukuWarung в финансировании варунгов; Индия — ePayLater и Cashflo (B2B BNPL для дистрибуции); Египет — MaxAB/Khazna в финансировании мелкой розницы.</t>
  </si>
  <si>
    <t>Небанковский факторинг разрешён с 01.01.2025 (УП-109 от 12.08.2024), а Электронная платформа факторинговых услуг интегрирована с ГНК и ЕЭИСВО — то есть электронный счёт-фактура даёт верифицируемую B2B-дебиторку, которой раньше не было.</t>
  </si>
  <si>
    <t>1.5-4 млн.</t>
  </si>
  <si>
    <t>Регистрация НКО/микрофинансовой или факторинговой организации в ЦБ; ограничения по ставкам и раскрытию.</t>
  </si>
  <si>
    <t>Массовые мелкие дефолты в рознице; взыскание с точки экономически бессмысленно, вся защита — в лимите и в контроле отгрузок.</t>
  </si>
  <si>
    <t>FIN-11</t>
  </si>
  <si>
    <t>Страховой брокер по спецлиниям: строймонтаж, грузы, D&amp;O</t>
  </si>
  <si>
    <t>Финансы и капитал (страхование)</t>
  </si>
  <si>
    <t>Независимый брокер, который структурирует и размещает сложные риски — CAR/EAR (строительно-монтажные), карго и складские, ответственность директоров, энергетические и ГЧП-проекты — включая выход на международное перестрахование.</t>
  </si>
  <si>
    <t>Застройщики и подрядчики, банки-кредиторы (требуют покрытия), экспортёры и логистика, IPP и концессионеры.</t>
  </si>
  <si>
    <t>Брокерская комиссия 10-20% от премии; проект CAR на стройку $30 млн даёт премию $60-150 тыс. → комиссия $10-25 тыс.; корпоративная программа $5-30 тыс./год (оценка).</t>
  </si>
  <si>
    <t>Банк не даст проектное финансирование без корректного покрытия строймонтажа и перерыва в деятельности; локальные страховщики продают шаблонные полисы, которые не покрывают реальные риски и не проходят требования международных кредиторов.</t>
  </si>
  <si>
    <t>Брокер вместо продавца полиса: аудит рисков, техзадание, тендер среди страховщиков, размещение излишка риска в перестрахование (Turkish Re, Kazakh/Russian и лондонский рынок), сопровождение убытка.</t>
  </si>
  <si>
    <t>По опыту брокерского тендера снижение премии при том же покрытии — оценка 15-30%; при убытке грамотная формулировка договора решает вопрос выплаты полностью.</t>
  </si>
  <si>
    <t>Ближайшие игроки: Uzbekinvest, Gross Insurance, Apex Insurance, Kafolat, Alskom — как прямые страховщики; брокеров-перестраховщиков мало | Заменители: покупка полиса напрямую у страховщика, вообще отсутствие покрытия, требование покрытия «для галочки» | Почему свободно: перестраховочные брокеры начинают и прекращают деятельность в уведомительном порядке — вход открыт, но компетенции в спецлиниях в стране почти нет; глобальные брокеры (Marsh/Aon) на рынок такого размера не идут.</t>
  </si>
  <si>
    <t>Казахстан — брокеры вокруг нефтегазовых и инфраструктурных проектов; Турция — крупные локальные брокеры в CAR/EAR; Грузия — брокерский рынок вырос после притока проектного финансирования от IFI.</t>
  </si>
  <si>
    <t>С 01.01.2026 долевое строительство только через эскроу и банковское проектное финансирование — банки становятся выгодоприобретателем и начинают диктовать требования к покрытию; 24 IPP и ~$20 млрд ПИИ в энергетику требуют покрытий по стандартам кредиторов.</t>
  </si>
  <si>
    <t>80-200 тыс.</t>
  </si>
  <si>
    <t>Лицензия/уведомление страхового и перестраховочного брокера (ЗРУ-730 «О страховой деятельности», ПП-108 от 01.03.2024); требования к квалификации и E&amp;O-покрытию.</t>
  </si>
  <si>
    <t>Страховщики бойкотируют брокера, защищая прямые продажи, и не платят комиссию.</t>
  </si>
  <si>
    <t>FIN-12</t>
  </si>
  <si>
    <t>Актуарный аутсорсинг и embedded InsurTech</t>
  </si>
  <si>
    <t>Актуарная и андеррайтинговая фирма, которая считает тарифы и резервы для страховщиков, и параллельно продаёт API для встроенного страхования в маркетплейсах, банках и лизинге.</t>
  </si>
  <si>
    <t>Страховые компании (актуарный аутсорсинг), а на второй линии — платформы, встраивающие полис в свой чек.</t>
  </si>
  <si>
    <t>Актуарный ретейнер $3-8 тыс./мес на страховщика, разовая тарификация продукта $10-30 тыс.; в embedded-части — доля 5-15% от премии (оценка).</t>
  </si>
  <si>
    <t>Регулятор требует пересмотра тарифов на основе актуарных расчётов и автоматизации расчёта премий, а сертифицированных актуариев в стране единицы — страховщики считают тарифы «по рынку» и хронически недорезервируют.</t>
  </si>
  <si>
    <t>Небольшая команда актуариев (местные математики + сертифицированный наставник SOA/IFoA), библиотека моделей по линиям бизнеса, затем тот же движок продаётся как API для тарификации встроенных полисов.</t>
  </si>
  <si>
    <t>Страховщику аутсорс за $60-90 тыс./год против невозможности нанять актуария вообще; корректная тарификация напрямую меняет убыточность портфеля на единицы процентных пунктов.</t>
  </si>
  <si>
    <t>Ближайшие игроки: внутренние отделы Uzbekinvest, Kafolat, Gross Insurance; Big4 в актуарной части — присутствие в РУз не подтверждено | Заменители: копирование тарифов конкурентов, расчёт «по интуиции», консультант из-за рубежа раз в год | Почему свободно: профессия только формируется, спрос создан требованием регулятора, а не рынком, поэтому предложение отстаёт на годы.</t>
  </si>
  <si>
    <t>Индия — актуарные консалтинги вокруг IRDAI-требований; Вьетнам/Индонезия — рост актуарного аутсорсинга после ужесточения резервных требований; Кения — Turaco (embedded-микрострахование, сотни тысяч клиентов через партнёров).</t>
  </si>
  <si>
    <t>ПП-108 от 01.03.2024 «О комплексных мерах по дальнейшему развитию рынка страховых услуг» — пересмотр тарифов на основе актуарных расчётов и автоматизация расчёта премии; ЗРУ-730 закрепляет роль актуарных организаций как инфраструктуры рынка.</t>
  </si>
  <si>
    <t>100-250 тыс.</t>
  </si>
  <si>
    <t>Аккредитация актуарной организации у страхового регулятора; для embedded-части — агентский договор со страховщиком.</t>
  </si>
  <si>
    <t>Страховщики продолжат считать актуарий формальностью и покупать «отчёт для галочки» по минимальной цене.</t>
  </si>
  <si>
    <t>FIN-13</t>
  </si>
  <si>
    <t>Вертикальный эквайринг и платёжная оркестрация под отрасли</t>
  </si>
  <si>
    <t>Финансы и капитал (платежи)</t>
  </si>
  <si>
    <t>Платёжный провайдер, продающий не «терминал», а отраслевой модуль — для клиник, автосервисов, частных школ, стройки и турагентств — с расщеплением платежа, рассрочкой и учётом внутри.</t>
  </si>
  <si>
    <t>Малый и средний бизнес в выбранных вертикалях; часть дохода — от банков-партнёров за приведённый оборот.</t>
  </si>
  <si>
    <t>MDR-спред 0.3-0.8 п.п. поверх банковской ставки + SaaS $30-100/мес за точку; при 1 000 точек и среднем обороте $8 тыс./мес — оценка $0.5-1 млн выручки в год.</t>
  </si>
  <si>
    <t>Клиника или школа получает от банка голый терминал и потом вручную сводит платежи с записями, рассрочками и долями врачей — ошибки и потери денег ежедневно.</t>
  </si>
  <si>
    <t>Оркестрация поверх UZCARD/HUMO и международных схем + отраслевая логика (расщепление между юрлицами, депозиты, подписки, интеграция с медицинской/учебной системой), одна интеграция вместо трёх.</t>
  </si>
  <si>
    <t>Точка экономит 10-20 часов администратора в месяц и снимает расхождения; за это платит меньше $100 в месяц.</t>
  </si>
  <si>
    <t>Ближайшие игроки: Payme, Click, Uzum Bank, Anor, банковский эквайринг Kapitalbank и Ipoteka Bank | Заменители: банковский терминал плюс Excel, перевод с карты на карту, наличные | Почему свободно: крупные игроки строят горизонтальные кошельки и не спускаются в отраслевую логику; вертикальный софт требует доменной экспертизы.</t>
  </si>
  <si>
    <t>Индонезия — Xendit (платёжная оркестрация, единорог); Египет — Paymob (эквайринг для МСБ, крупные раунды); Турция — iyzico (продан PayU).</t>
  </si>
  <si>
    <t>Частная медицина: 3 200 клиник (2016) → ожидается 8 700 к концу 2026, с 01.07.2026 частные клиники могут работать за счёт бюджета по всем направлениям — появляется смешанный поток (бюджет + касса), который вручную не сводится.</t>
  </si>
  <si>
    <t>300-800 тыс.</t>
  </si>
  <si>
    <t>Регистрация платёжной организации/оператора в ЦБ либо работа как техпровайдер под лицензией банка-партнёра; PCI DSS.</t>
  </si>
  <si>
    <t>Банк-партнёр или Payme/Click копируют вертикальный модуль и демпингуют по MDR.</t>
  </si>
  <si>
    <t>FIN-14</t>
  </si>
  <si>
    <t>Трансграничные переводы и финансовый пакет для трудовых мигрантов</t>
  </si>
  <si>
    <t>Финансы и капитал (платежи, трансграничные потоки)</t>
  </si>
  <si>
    <t>Сервис переводов и сопутствующих финансовых услуг для узбекистанцев, работающих не в России, — Корея, Япония, Польша, Словакия, Германия, страны Залива — с переводом, накоплением и целевыми платежами домой.</t>
  </si>
  <si>
    <t>Мигранты (комиссия за перевод и конверсию), получатели в РУз, работодатели-рекрутеры за зарплатный канал.</t>
  </si>
  <si>
    <t>0.8-2% от суммы перевода + спред на конверсии 0.5-1%; средний перевод $300-800, целевой объём $50-150 млн/год через 3 года (оценка).</t>
  </si>
  <si>
    <t>Поток в Россию сокращается (въезд на работу -13.2% г/г в 1П2026), а по новым коридорам (Словакия, Корея, Залив) нет дешёвых массовых каналов — мигрант платит 3-6% и ждёт дни.</t>
  </si>
  <si>
    <t>Партнёрская модель: лицензии/агентские соглашения в 2-3 коридорах отправки, приём на местные карты HUMO/UZCARD в РУз, целевые платежи (ипотека, коммунальные, обучение детей), депозит в сумах под высокую ставку как удержание.</t>
  </si>
  <si>
    <t>Комиссия 1.5% против 4% у классических операторов даёт мигранту экономию $10-25 с перевода; при 10 переводах в год это месячная продуктовая корзина семьи.</t>
  </si>
  <si>
    <t>Ближайшие игроки: KoronaPay (через Anor Bank), Western Union, MoneySend/Visa Direct в Uzum Bank, Kapitalbank, Hamkorbank, Ipoteka Bank как банки-получатели | Заменители: перевод через знакомых, наличные с водителями, криптовалютные P2P-каналы | Почему свободно: почти вся инфраструктура заточена под российский коридор; в новых коридорах диаспора мала для глобальных игроков, но уже достаточна для локального сервиса.</t>
  </si>
  <si>
    <t>Филиппины — GCash и Coins.ph на переводах OFW; Пакистан — Roshan Digital Account (миллиарды долларов притока); Кения — M-PESA Global.</t>
  </si>
  <si>
    <t>~1.4 млн граждан работают за рубежом в ~40 странах; въезд в РФ на работу -13.2% г/г в 1П2026; заявки на 100 тыс. работников поступили от других стран (Словакия: VW Slovakia, 1200-1600 евро); август 2025 — открыт Ресурсный центр для мигрантов в Ташкенте.</t>
  </si>
  <si>
    <t>1-3 млн (лицензии в коридорах отправки + оборотный капитал на предфандинг).</t>
  </si>
  <si>
    <t>Лицензия платёжного института в стране отправки (ЕС — EMI/PI), регистрация платёжной организации в ЦБ РУз, AML/CFT-режим в обеих юрисдикциях.</t>
  </si>
  <si>
    <t>Регуляторная стоимость: получить и удержать лицензию в ЕС/Корее дороже и дольше, чем заложено в модель.</t>
  </si>
  <si>
    <t>FIN-15</t>
  </si>
  <si>
    <t>Бюро альтернативных данных, скоринга и KYC/AML-платформа</t>
  </si>
  <si>
    <t>Финансы и капитал (инфраструктура)</t>
  </si>
  <si>
    <t>Сервис, который агрегирует альтернативные данные о заёмщике (платежи за коммуналку и связь, ЭСФ-обороты, транзакционные выписки, телеком-паттерны) и продаёт кредиторам скоринг, а также готовый модуль KYC/AML и санкционного скрининга.</t>
  </si>
  <si>
    <t>НКО, микрофинансовые и факторинговые организации, лизингодатели, страховщики, BNPL-игроки, небольшие банки.</t>
  </si>
  <si>
    <t>$0.15-0.8 за скоринговый запрос, $0.5-2 за KYC-проверку, подписка $1-5 тыс./мес; при 3 млн запросов в год — оценка $0.7-1.5 млн выручки.</t>
  </si>
  <si>
    <t>Новые небанковские кредиторы (факторинг разрешён с 2025, BNPL-игроки, лизинг) не имеют доступа к качественной кредитной истории, а строить скоринг с нуля каждому дорого; при этом требования AML растут.</t>
  </si>
  <si>
    <t>Договорные каналы данных (телеком, коммунальные операторы, эквайеры, ЭСФ), модели на исторических дефолтах партнёров, «федеративная» схема — партнёры отдают обезличенные исходы, получают лучший скоринг.</t>
  </si>
  <si>
    <t>Кредитор снижает уровень дефолта — даже 2 п.п. на портфеле $5 млн это $100 тыс./год против стоимости подписки в $30-50 тыс.</t>
  </si>
  <si>
    <t>Ближайшие игроки: государственный кредитный реестр ЦБ и кредитные бюро, скоринговые команды Uzum, Alif, Kapitalbank | Заменители: собственный скоринг на выписке, ручная проверка, залог вместо анализа | Почему свободно: госреестр отражает только банковские кредиты и не видит небанковский сектор и B2B-обороты; независимого агрегатора альтданных нет (не подтверждено обратное).</t>
  </si>
  <si>
    <t>Индия — CRIF High Mark и альтскоринг-провайдеры; Индонезия — Pefindo Biro Kredit; Кения — Tala/Branch как доказательство работоспособности альтернативных данных; Вьетнам — Trusting Social (скоринг по телеком-данным, привлёк крупные раунды).</t>
  </si>
  <si>
    <t>Разрешение факторинга небанковским кредитным организациям с 01.01.2025 (УП-109 от 12.08.2024) и создание Электронной платформы факторинговых услуг, интегрированной с электронным правительством, ГНК и ЕЭИСВО, — впервые появляется машиночитаемый B2B-след.</t>
  </si>
  <si>
    <t>400 тыс. - 1 млн.</t>
  </si>
  <si>
    <t>Закон о персональных данных РУз (локализация данных), возможная регистрация как кредитное бюро; согласие субъекта — критично.</t>
  </si>
  <si>
    <t>Владельцы данных (телеком, коммунальщики, ГНК) откажут в доступе или потребуют доли, убивающей юнит-экономику.</t>
  </si>
  <si>
    <t>FIN-16</t>
  </si>
  <si>
    <t>Закрытый паевой фонд коммерческой недвижимости (склады, ритейл, офис)</t>
  </si>
  <si>
    <t>Финансы и капитал (управление активами)</t>
  </si>
  <si>
    <t>ЗПИФ, покупающий приносящую аренду недвижимость — склады класса B/A, стрит-ритейл, офисы — и распределяющий рентный доход пайщикам.</t>
  </si>
  <si>
    <t>Состоятельные частные инвесторы, семейные капиталы, позднее — страховщики и пенсионные деньги.</t>
  </si>
  <si>
    <t>Management fee 1.5-2% от СЧА + performance 15-20% сверх hurdle; целевой фонд $10-30 млн; минимальный пай $25-50 тыс. (оценка).</t>
  </si>
  <si>
    <t>Локальный капитал упирается в выбор «депозит 19.7% в сумах или купить квартиру»; инструмента, дающего валютно-устойчивый рентный доход от коммерческой недвижимости с профессиональным управлением, просто нет.</t>
  </si>
  <si>
    <t>Фонд под законом об инвестиционных и паевых фондах, независимый оценщик и кастодиан, фокус на складах под e-commerce и холодовую цепь; доходность собирается из аренды плюс переоценка.</t>
  </si>
  <si>
    <t>Целевая доходность 18-22% годовых в сумах при диверсификации по 5-10 объектам (оценка) против одиночной квартиры с 6-8% аренды и риском неликвида.</t>
  </si>
  <si>
    <t>Ближайшие игроки: девелоперы, продающие объекты напрямую (Murad Buildings, Golden House и др.), брокеры коммерческой недвижимости, банковские депозиты | Заменители: покупка квартиры/помещения в личную собственность, валютный депозит, наличный доллар | Почему свободно: институт паевых фондов формально существует, но управляющих с рыночным треком практически нет; законодательство обновилось только в 2026.</t>
  </si>
  <si>
    <t>Малайзия — Axis REIT и Sunway REIT (публичные, институциональные); Филиппины — AREIT (первый REIT страны, успешный листинг); Румыния/Польша 2005-2015 — рост фондов коммерческой недвижимости после притока капитала.</t>
  </si>
  <si>
    <t>ЗРУ-1158 от 13.07.2026 внёс изменения в законодательство об инвестиционных и паевых фондах, вступил в силу 25.07.2026; параллельно готовится закон «Об альтернативных инвестиционных фондах».</t>
  </si>
  <si>
    <t>500 тыс. - 1 млн на управляющую компанию; сам фонд — от $10 млн.</t>
  </si>
  <si>
    <t>Лицензия управляющей компании инвестиционных активов у НАПП, кастодиан, независимая оценка, требования к раскрытию.</t>
  </si>
  <si>
    <t>Налоговый режим фонда невыгоден против прямого владения (двойное обложение) — это убивает продукт.</t>
  </si>
  <si>
    <t>FIN-17</t>
  </si>
  <si>
    <t>Фонд private credit и revenue-based financing + услуги семейного офиса</t>
  </si>
  <si>
    <t>Финансы и капитал (управление активами, альтернативное кредитование)</t>
  </si>
  <si>
    <t>Частный долговой фонд, выдающий мезонин и RBF растущим компаниям (IT Park-экспортёрам, e-commerce, франшизам), с надстройкой в виде услуг семейного офиса для собственных LP.</t>
  </si>
  <si>
    <t>Заёмщики (проценты и комиссии), LP фонда (management/performance fee), семьи-клиенты (ретейнер за family office).</t>
  </si>
  <si>
    <t>Ставка 16-24% в долларах или 3-8% от месячной выручки в RBF; тикет $200 тыс. - 2 млн; фонд $15-40 млн; family-office ретейнер $30-100 тыс./год (оценка).</t>
  </si>
  <si>
    <t>Компания с выручкой и без твёрдого залога банку неинтересна: банк кредитует под недвижимость, а у IT-экспортёра и e-commerce залога нет; венчур же требует продажи доли.</t>
  </si>
  <si>
    <t>Долг под денежный поток и контракты, ковенанты вместо залога, автоматическое списание процента от эквайринг-выручки в RBF; отдельная практика family office — консолидация активов семьи, наследование, структурирование.</t>
  </si>
  <si>
    <t>Для основателя 20% в долларах дешевле, чем отдать 15-20% капитала на раунде; для LP — доходность выше депозита 19.7% при более коротком горизонте, чем венчур.</t>
  </si>
  <si>
    <t>Ближайшие игроки: банковские корпкредиты (Kapitalbank, Hamkorbank, TBC), UzVC/Национальный венчурный фонд, ангелы IT Park, Uzcard Ventures (не подтверждено) | Заменители: банковский кредит под залог квартиры собственника, займ у родственников, продажа доли | Почему свободно: класс private credit в РУз отсутствует, законодательство об альтернативных фондах только пишется, банки структурно не умеют кредитовать под cash flow.</t>
  </si>
  <si>
    <t>Индия — Trifecta Capital и Alteria Capital (venture debt, миллиардные портфели); Индонезия — Genesis Alternative Ventures; Египет — Camel Ventures (venture debt для МСБ).</t>
  </si>
  <si>
    <t>Готовится закон «Об альтернативных инвестиционных фондах», цель — довести венчур и другие альтинвестиции до $1 млрд за пять лет; для IT Park действуют обязательные доли экспорта в выручке (20% в 2026, 35% в 2027, 50% в 2028), что требует оборотного капитала на масштабирование экспорта.</t>
  </si>
  <si>
    <t>1-2 млн на управляющую компанию; фонд — от $15 млн.</t>
  </si>
  <si>
    <t>Лицензия УК/фонда (НАПП), либо структура фонда за периметром (AIFC/ADGM) с кредитованием в РУз; валютное регулирование по трансграничным займам.</t>
  </si>
  <si>
    <t>Взыскание без твёрдого залога в узбекском суде остаётся непроверенным — при дефолте защита может оказаться бумажной.</t>
  </si>
  <si>
    <t>FIN-18</t>
  </si>
  <si>
    <t>Складские свидетельства, финансирование запасов и хеджирование сырья</t>
  </si>
  <si>
    <t>Финансы и капитал (товарные рынки)</t>
  </si>
  <si>
    <t>Оператор сертифицированных биржевых складов, выпускающий складские свидетельства под зерно, хлопковую продукцию и плодоовощную продукцию, плюс брокерская услуга хеджирования цен для экспортёров.</t>
  </si>
  <si>
    <t>Фермеры и трейдеры (хранение и финансирование под свидетельство), банки (комиссия за инфраструктуру залога), экспортёры (хедж и брокерские услуги).</t>
  </si>
  <si>
    <t>Хранение $3-8 за тонну в месяц + комиссия за выпуск свидетельства 0.3-0.7% от стоимости партии + доля в процентной марже кредитора; хедж-брокеридж — комиссия за контракт (оценка).</t>
  </si>
  <si>
    <t>Фермер вынужден продавать урожай сразу после уборки по низшей цене, потому что не может ни хранить, ни занять под товар; экспортёр не может зафиксировать цену и берёт валютно-ценовой риск на себя.</t>
  </si>
  <si>
    <t>Аккредитованные склады с контролем качества и весом, электронный реестр свидетельств, соглашения с 2-3 банками о приёме свидетельства как залога; отдельная лицензия биржевого брокера для хеджирования через внешние площадки.</t>
  </si>
  <si>
    <t>Фермер, продающий на 3-4 месяца позже пика уборки, выигрывает на сезонной разнице цен — эффект, регулярно измеряемый в программах warehouse receipt finance (оценка 15-30% к цене); против стоимости хранения и займа.</t>
  </si>
  <si>
    <t>Ближайшие игроки: UzEX (Узбекская республиканская товарно-сырьевая биржа) и её товарные секции, «Узагроэкспорт», банковское кредитование агро под залог урожая | Заменители: продажа урожая сразу перекупщику, хранение в кустарных ангарах с потерями, авансирование от трейдера | Почему свободно: инфраструктуры сертифицированных складов и юридически надёжного свидетельства как залога фактически нет; банки не берут товар в залог, потому что не доверяют учёту.</t>
  </si>
  <si>
    <t>Индия — NCDEX/NCML (складские свидетельства и финансирование под товар); Кения/Танзания — Warehouse Receipt System, поддержанная донорами и банками; Турция — ELÜS (электронные складские свидетельства) на лицензированных складах, работающая массовая система.</t>
  </si>
  <si>
    <t>Экспорт плодоовощной продукции 1П2026 — 1.0867 млн т на $872.9 млн; сокращение послеуборочных потерь оценивается в дополнительные $1.2-1.7 млрд в год; по хлопку с урожая 2025 стартовая цена привязана к средним котировкам фьючерсов NYSE за шесть месяцев и публикуется на сайте UzEX (Указ от 17.01.2025) — то есть ценовой бенчмарк уже введён государством.</t>
  </si>
  <si>
    <t>3-8 млн (склады и оборудование) либо 300-600 тыс. в «лёгком» варианте — оператор реестра и агент банков без собственных складов.</t>
  </si>
  <si>
    <t>Аккредитация склада при бирже, лицензия биржевого брокера для хеджирования, валютное регулирование для операций на внешних площадках (главное узкое место).</t>
  </si>
  <si>
    <t>Валютные ограничения не позволят реально хеджироваться на внешних биржах, и услуга останется декоративной.</t>
  </si>
  <si>
    <t>FIN-19</t>
  </si>
  <si>
    <t>Советник по ГЧП и проектному финансированию (вузы, медцентры, энергетика)</t>
  </si>
  <si>
    <t>Финансы и капитал (ГЧП и проектное финансирование)</t>
  </si>
  <si>
    <t>Транзакционный советник, который структурирует концессии и ГЧП в социнфраструктуре и энергетике: финмодель, распределение рисков, тендерная документация, отбор партнёров, финансовое закрытие.</t>
  </si>
  <si>
    <t>Государственные заказчики (министерства, вузы, республиканские медцентры), частные инвесторы и спонсоры проектов, банки развития через гранты на подготовку проектов.</t>
  </si>
  <si>
    <t>Ретейнер $15-40 тыс./мес на мандат + success fee 0.5-1.5% от объёма привлечённого финансирования (проект $50 млн = $250-750 тыс.); мандаты обычно 9-18 месяцев (оценка).</t>
  </si>
  <si>
    <t>08.09.2026 объявлено о привлечении частных инвесторов в крупные вузы и республиканские медцентры, но у госзаказчика нет ни финмодели, ни матрицы рисков, ни понимания, как считать availability payment — без советника проекты не выходят на рынок.</t>
  </si>
  <si>
    <t>Команда «финмодель + юридическое структурирование + технический партнёр», работа под грантовые окна банков развития (АБР, ЕБРР, IFC PPP advisory), затем buy-side мандаты для инвесторов на тех же проектах.</t>
  </si>
  <si>
    <t>Для государства цена ошибки в структуре концессии — десятки миллионов на 20-летнем горизонте; советник стоит доли процента от объёма.</t>
  </si>
  <si>
    <t>Ближайшие игроки: Big4 (инфраструктурные практики), международные юрфирмы, сами банки развития как advisor; локальных сделочных бутиков почти нет | Заменители: подготовка проекта силами министерства, копирование чужого концессионного соглашения, прямое назначение инвестора | Почему свободно: официально признано, что у государства нет опыта работы с частными проектами (АБР даёт transaction advisory по энергетике), а Big4 дороги и заняты крупными мандатами.</t>
  </si>
  <si>
    <t>Турция — ГЧП-госпитали (city hospitals), десятки объектов на проектном финансировании; Египет — ГЧП в энергетике (Benban) с международными советниками; Казахстан — Центр ГЧП и советники по концессиям в дорогах и медицине.</t>
  </si>
  <si>
    <t>08.09.2026 — привлечение частных инвесторов в крупные вузы и республиканские медцентры; ПП-269 от 17.07.2026 (международные образовательные стандарты, частичная компенсация роялти зарубежным вузам); 24 IPP и ~$20 млрд ПИИ в энергетику; АБР финансирует transaction advisory.</t>
  </si>
  <si>
    <t>200-500 тыс.</t>
  </si>
  <si>
    <t>Лицензии нет; критична аккредитация в списках консультантов АБР/ЕБРР/ВБ и закон о ГЧП РУз.</t>
  </si>
  <si>
    <t>Мандаты распределяются непрозрачно или уходят к международным фирмам, аккредитованным донорами.</t>
  </si>
  <si>
    <t>FIN-20</t>
  </si>
  <si>
    <t>Банковский мониторинг долевого строительства и эскроу-контроль (аналог 214-ФЗ)</t>
  </si>
  <si>
    <t>Финансы и капитал (проектное финансирование, эскроу)</t>
  </si>
  <si>
    <t>Независимая инженерно-финансовая компания, которая по заказу банка проверяет сметы, подтверждает фактическое выполнение работ и даёт заключение на раскрытие очередного транша проектного финансирования застройщику.</t>
  </si>
  <si>
    <t>Уполномоченные банки, ведущие эскроу-счета и проектное финансирование; частично — сами застройщики (расходы перевыставляются в проект).</t>
  </si>
  <si>
    <t>$2-6 тыс. за ежемесячный отчёт по объекту + $8-20 тыс. за первичную экспертизу проекта и бюджета; 30-60 объектов на сопровождении = оценка $1.5-3 млн выручки в год.</t>
  </si>
  <si>
    <t>Банк, впервые взявший на себя проектное финансирование стройки, физически не может проверить, действительно ли выполнен объём работ, под который просят транш — а деньги дольщиков на эскроу защищены законом, значит убыток при недостроe ложится на банк.</t>
  </si>
  <si>
    <t>Смешанная команда инженеров-сметчиков и финансистов; стандартизованная методика (проверка сметы, выезд на объект, фотофиксация, сверка с графиком, отчёт для кредитного комитета); подписка банка на портфель объектов.</t>
  </si>
  <si>
    <t>Один остановленный вовремя транш на $500 тыс. окупает годовое обслуживание десятка объектов; для банка это условие приемлемого резервирования по проектному кредиту.</t>
  </si>
  <si>
    <t>Ближайшие игроки: внутренние службы залогов уполномоченных банков, инжиниринговые и сметные организации без банковской методики, SGS/Bureau Veritas (сертификация, не банковский мониторинг) | Заменители: банк проверяет сам силами кредитного инспектора, доверие отчётам застройщика | Почему свободно: обязанность возникла вместе с эскроу в 2026, банки не успели построить компетенцию, а инжиниринговые компании не умеют говорить на языке кредитного комитета.</t>
  </si>
  <si>
    <t>Россия после 214-ФЗ (2019) — обязательный переход на эскроу породил отрасль банковского строительного мониторинга: десятки специализированных компаний обслуживают Сбербанк, ДОМ.РФ и другие; механика прямо переносима.</t>
  </si>
  <si>
    <t>Эскроу в долевом строительстве вводится в 2026 (в источниках расходятся даты: 01.01.2026 и 01.07.2026 — требует уточнения); ЦБ совместно с Минюстом должен утвердить перечень банков, допущенных к проектному финансированию долевого строительства и операциям по эскроу, и правила контроля использования средств; деньги застройщику переводятся только после подписания акта передачи.</t>
  </si>
  <si>
    <t>Лицензии нет; нужна аккредитация при уполномоченных банках, возможно членство в СРО проектировщиков/изыскателей; страхование профответственности.</t>
  </si>
  <si>
    <t>Банки замкнут функцию на собственные службы залогов и не станут покупать внешний мониторинг.</t>
  </si>
  <si>
    <t>IT-01</t>
  </si>
  <si>
    <t>Export Readiness Desk (экспортный отдел «под ключ» для резидентов IT Park)</t>
  </si>
  <si>
    <t>IT и цифровые продукты (услуги B2B, RegTech-смежное)</t>
  </si>
  <si>
    <t>аутсорсинговый экспортный отдел, который за фикс + процент от валютной выручки доводит локальную IT-компанию до выполнения обязательной экспортной доли (20/35/50%) — от упаковки оффера и юрлица за рубежом до первых контрактов и отчётности перед IT Park.</t>
  </si>
  <si>
    <t>резиденты IT Park с преимущественно внутренней выручкой — интеграторы, разработчики банковского и госсофта, продуктовые команды, аутсорс-студии 20-150 человек.</t>
  </si>
  <si>
    <t>ретейнер $2-5 тыс./мес + success fee 8-15% от привлечённой экспортной выручки первые 12-24 мес. Средний годовой чек на клиента $40-90 тыс. при закрытии $300-500 тыс. экспорта (оценка).</t>
  </si>
  <si>
    <t>Сотни резидентов IT Park построили бизнес на внутреннем рынке (банки, госорганы, ритейл). У них нет ни английского сейлза, ни зарубежного юрлица, ни понимания, как оформлять валютную выручку так, чтобы она зачлась в экспортную долю. Терпеть дорого: порядок потери режима — ~$70-80 тыс./год для средней компании (оценка выше), плюс риск ретроспективных доначислений. Дедлайн жёсткий и повторяющийся ежегодно.</t>
  </si>
  <si>
    <t>Три конвейера. (1) Упаковка: перевод портфеля кейсов в западный формат, ниша-позиционирование (например «мы делаем ядро для микрофинансовых организаций»), ценообразование в долларах. (2) Каналы: холодный outbound на США/ЕС/Залив, подрядные площадки (Upwork Enterprise, Clutch, партнёрские сети Odoo/Salesforce/Microsoft), субподряд у польских/румынских/турецких студий, у которых ставки выше на 2-3x. (3) Обвязка: регистрация юрлица (Делавэр / Эстония / DIFC / ADGM), договорная документация, валютный контроль, корректное отражение экспортной выручки в отчётности IT Park. Продаём как «квота закрыта — режим сохранён», а не как «маркетинг».</t>
  </si>
  <si>
    <t>Клиент платит $40-90 тыс./год и сохраняет льготу стоимостью $70-80 тыс./год — но главное, получает валютную выручку, которая сама по себе прибыльна (маржа на аутстаффе 25-40%). То есть услуга окупается дважды. Альтернатива — нанять экспортного сейлза со знанием западного рынка: в Ташкенте таких единицы, зарплата $3-6 тыс./мес плюс год на раскачку и высокий риск не найти (оценка).</t>
  </si>
  <si>
    <t>Ближайшие игроки: сам IT Park (программы IT Park Ventures, акселерация, зарубежные представительства, поддержка выхода на рынки — то есть частично конкурент и частично канал); консалтинговые бутики при Big4 в Ташкенте; EPAM Uzbekistan, Exadel, iTechArt-подобные глобальные аутсорсеры — они не консультанты, а конкуренты за тех же заказчиков. Заменители: компания сама нанимает сейлза; идёт на Upwork «как получится»; фиктивно оформляет экспорт через дружественное юрлицо (серый и опасный путь); просто выходит из резидентства. Почему свободно: правило совсем новое (действует с 2026 и ужесточается ежегодно), спрос возник одномоментно у сотен компаний; глобальным консалтингам ниша мала; локальные агентства умеют продавать внутри страны, но не в США. Регуляторный лаг в чистом виде.</t>
  </si>
  <si>
    <t>Andela (Нигерия) — построила бизнес на выводе африканских инженеров на западные контракты, Series E $200 млн при оценке ~$1.5 млрд (2021) — не подтверждено в этой сессии. Модель «экспортный отдел как услуга» массово работала в Польше 2004-2010 и Украине 2010-2018 (ассоциации + агентства выводили локальные студии на США/ЕС; SoftServe, Ciklum выросли из этой волны) — не подтверждено в этой сессии. Прямая аналогия по регуляторике: ПВТ Беларуси, где резидентство также было завязано на структуру выручки и породило слой посредников — не подтверждено в этой сессии.</t>
  </si>
  <si>
    <t>обязательные доли экспорта в выручке резидентов IT Park — 20% (2026), 35% (2027), 50% (2028); льготы (0% прибыль, 0% соцналог, 7.5% НДФЛ) продлены до 01.01.2040 (база фактов, ОКНО 3). Ужесточение ежегодное — окно не разовое, а нарастающее три года подряд.</t>
  </si>
  <si>
    <t>30 000 - 60 000 (2-3 сейлза, юрлицо за рубежом, CRM и данные для outbound, 6-9 мес. runway).</t>
  </si>
  <si>
    <t>отдельной лицензии нет. Нужны: валютный контроль по экспорту услуг, договоры в соответствии с требованиями к экспортным контрактам, корректный учёт для отчётности IT Park. Success fee от чужой выручки требует аккуратной договорной конструкции (агентский договор).</t>
  </si>
  <si>
    <t>государство может смягчить или отсрочить квоты под давлением отрасли — и боль исчезнет. Митигация: строить не «консалтинг про квоту», а реальную экспортную sales-функцию, которая нужна и без квоты.</t>
  </si>
  <si>
    <t>IT-02</t>
  </si>
  <si>
    <t>«Единый экспортный вендор»: bench-агрегатор мощностей узбекских студий</t>
  </si>
  <si>
    <t>IT и цифровые продукты (экспорт услуг, платформа)</t>
  </si>
  <si>
    <t>одна западная витрина-компания, которая продаёт зарубежным заказчикам инженерные команды, а исполняет заказы силами 20-60 маленьких узбекских студий, для каждой из которых эта выручка засчитывается как экспортная.</t>
  </si>
  <si>
    <t>заказчики в США/ЕС/Залив платят за инженерные часы; узбекские студии «платят» дисконтом от своей ставки.</t>
  </si>
  <si>
    <t>маржа-спред. Продажа $28-45/час, закупка у локальной студии $16-24/час, маржа 30-45%. Контракт = 3-8 инженеров на 6-12 мес = $150-500 тыс./год с одного клиента (оценка ставок; ставки не подтверждены в этой сессии).</t>
  </si>
  <si>
    <t>У маленькой студии (10-40 человек) нет шансов пройти вендор-скрининг западного корпората: нет бренда, нет SOC 2, нет юрлица в юрисдикции клиента, нет страховки, нет англоязычного PM. Но именно им квота 35-50% страшнее всего — у крупных есть экспорт, у мелких нет. Одновременно западный клиент не хочет управлять пятью мелкими подрядчиками. Обе боли снимает один посредник.</t>
  </si>
  <si>
    <t>Юрлицо в США/Великобритании/ОАЭ с нормальным брендом, страховкой, NDA/MSA, SOC 2 Type I на первом этапе. Внутри — единый «bench»: реестр доступных инженеров партнёрских студий с проверенным уровнем (свой техскрининг + английский). Единый контракт с клиентом, субподряд с узбекской студией в валюте. Свой delivery-слой: англоязычные PM/BA и QA-надзор — то, чего мелким студиям не хватает. Отдельный SKU: «квота-пакет» — гарантированный минимум экспортной выручки для партнёра за приоритетный доступ к его инженерам по фиксированной ставке.</t>
  </si>
  <si>
    <t>Для студии: экспортная выручка приходит без собственных вложений в продажи ($40-90 тыс./год экономии на своём сейлзе + сохранение налоговой льготы порядка $70-80 тыс./год — оценка). Для клиента: ставка $28-45/час против $65-110 в Польше/Румынии и $45-70 в Индии за сопоставимый уровень (оценка; не подтверждено), при этом один контракт и один SLA вместо пяти.</t>
  </si>
  <si>
    <t>Ближайшие игроки: EPAM Uzbekistan (открыл офис в Ташкенте), Exadel, Andersen, iTechArt — но они нанимают инженеров себе, а не агрегируют студии; IT Park с программами выхода на экспорт; глобальные площадки Toptal, Turing, Deel/Remote (последние решают наём, не delivery). Заменители: Upwork/Fiverr в розницу; субподряд у турецких и польских студий (уже происходит, но без структуры); прямой найм через EOR. Почему свободно: агрегатор требует одновременно западного бренда и доверия локального сообщества — редкое сочетание; глобальным игрокам Узбекистан мал; локальным студиям не хватает капитала на западную инфраструктуру продаж; и до 2026 у студий не было регуляторного принуждения к экспорту, то есть спроса на агрегатора не было.</t>
  </si>
  <si>
    <t>Andela (Нигерия/Кения) — маркетплейс инженеров развивающихся рынков для западных клиентов, оценка ~$1.5 млрд (2021) — не подтверждено в этой сессии. Turing (США/Индия) — та же модель через ИИ-скрининг, оценка $1.1 млрд (2021) — не подтверждено. SoftServe / Ciklum (Украина) — рост из локальных студий в экспортёров с тысячами инженеров — не подтверждено.</t>
  </si>
  <si>
    <t>экспортные квоты IT Park 20/35/50% (2026-2028), база фактов ОКНО 3. Плюс структурный факт оттуда же: половина IT-экспорта уже идёт в США — канал протоптан, значит нет культурного барьера у покупателя.</t>
  </si>
  <si>
    <t>80 000 - 150 000 (западное юрлицо, страховки, SOC 2 Type I, 2 сейлза + 2 delivery-менеджера, 9-12 мес. runway).</t>
  </si>
  <si>
    <t>валютный контроль по экспортным контрактам; при работе с ЕС — GDPR-обвязка (DPA, SCC); при работе с финансовым сектором США — требования клиентов по SOC 2 и пентестам; корректное оформление субподряда, чтобы выручка студии считалась экспортной (ключевой юридический вопрос — проверить в полевом круге!).</t>
  </si>
  <si>
    <t>дисинтермедиация — клиент через год уходит напрямую к студии. Митигация: контракт с non-circumvention, владение отношениями через delivery-слой и PM, ротация инженеров между проектами.</t>
  </si>
  <si>
    <t>IT-03</t>
  </si>
  <si>
    <t>SaaS Export Factory: вывод узбекских вертикальных SaaS в ЦА, Кавказ и Пакистан</t>
  </si>
  <si>
    <t>IT и цифровые продукты (венчур-студия / go-to-market)</t>
  </si>
  <si>
    <t>венчур-студия, которая берёт уже работающий узбекский вертикальный SaaS и за долю + фикс запускает его в Кыргызстане, Таджикистане, Азербайджане, Казахстане и Пакистане, превращая внутренний продукт в экспортный.</t>
  </si>
  <si>
    <t>владельцы локальных SaaS-продуктов (ритейл, HoReCa, логистика, клиники, автосервис, МФО) — деньгами и долей 10-25% в зарубежной выручке или в отдельном юрлице под регион.</t>
  </si>
  <si>
    <t>фикс $3-8 тыс./мес на продукт за 9-12 мес запуска + revenue share 15-25% от зарубежной выручки на 3-5 лет + опцион в капитале. Портфель из 5-8 продуктов одновременно.</t>
  </si>
  <si>
    <t>Локальный SaaS упирается в потолок узбекского рынка и одновременно получает требование иметь 35-50% экспорта. Экспорт софта в США для вертикального SaaS под узбекскую специфику практически невозможен — а вот в Душанбе, Бишкек, Баку и Карачи тот же продукт продаётся почти без переделки. Но у команды нет ни знания этих рынков, ни локальных сейлзов, ни юрлиц, ни понимания местных налоговых и фискальных требований.</t>
  </si>
  <si>
    <t>Общая «фабрика»: (1) юрлица и банковские счета в 4-5 странах как shared service; (2) локализация — язык, валюта, фискальные требования, интеграции с местными платёжными системами и налоговыми API; (3) местные сейлз-команды по 2-3 человека, которые продают сразу 5-8 продуктов из портфеля (экономия на юните — каждый отдельный продукт не потянул бы свой офис в Бишкеке); (4) единая поддержка и биллинг. Плюс отдельная услуга «валютно-контрактный контур»: чтобы выручка корректно квалифицировалась как экспорт.</t>
  </si>
  <si>
    <t>Для продукта: выход на 4 рынка за 12 мес против 3-4 лет своими силами (оценка), инвестиции ~$40-90 тыс. вместо ~$300-500 тыс. на собственные офисы (оценка), плюс закрытая квота. Для фабрики: маржа на переиспользовании одной сейлз-инфраструктуры на 8 продуктов.</t>
  </si>
  <si>
    <t>Ближайшие игроки: Billz, Smartup (Uzum Tezkor / ERP-семейство), Uzum Business, 1С-франчайзи, Workly — это скорее клиенты и частично конкуренты, некоторые уже пробуют выходить в регион самостоятельно (состав и текущий статус не подтверждён в этой сессии). Из внешних — Bitrix24, Odoo-партнёры, Logo Yazılım (Турция) в ЦА. Заменители: продукт нанимает одного дистрибьютора в стране и надеется; идёт по знакомым; ничего не делает. Почему свободно: модель требует одновременно капитала, сети в 4-5 странах и терпения — у продуктовых команд нет ни того, ни другого; локальные VC предпочитают вкладывать в один продукт, а не в инфраструктуру дистрибуции; регуляторный триггер (квота) появился только сейчас.</t>
  </si>
  <si>
    <t>Rocket Internet (Германия) — модель «фабрики запуска» на развивающихся рынках, десятки компаний, IPO ряда активов — не подтверждено в этой сессии. Logo Yazılım (Турция) — ERP-вендор, вышедший из внутреннего рынка на Румынию и ЦА, публичная компания на BIST — не подтверждено. Zoho (Индия) — вертикальные продукты для МСБ с экспортом в десятки стран, выручка &gt;$1 млрд — не подтверждено. Ближе всего по механике: Ecommerce Group / EMPG (ОАЭ-Пакистан) — консолидация локальных классифайдов по странам, оценка &gt;$1 млрд — не подтверждено.</t>
  </si>
  <si>
    <t>квоты экспорта IT Park 20/35/50% (база фактов, ОКНО 3) создают одномоментный спрос у десятков продуктовых команд. Второй элемент окна: соседние рынки (Кыргызстан, Таджикистан) на 3-5 лет позади РУз по проникновению вертикального SaaS (оценка, не подтверждено), то есть узбекский продукт приходит туда «из будущего», а не догоняющим.</t>
  </si>
  <si>
    <t>150 000 - 300 000 (юрлица в 4 странах, 2 пилотных продукта, локальные сейлзы, 12-18 мес.).</t>
  </si>
  <si>
    <t>регистрация юрлиц и налоговый учёт в 4-5 юрисдикциях; локализация персональных данных в каждой стране (в РУз — обязательство хранить ПДн граждан внутри страны, ЗРУ о персональных данных; в 2026 обсуждалось смягчение — проверить редакцию); экспортный валютный контроль.</t>
  </si>
  <si>
    <t>портфельные продукты окажутся сырыми (моноязычными, монофискальными, без мультитенантности) — расходы на переделку съедят маржу. Митигация: жёсткий технический скрининг на входе, брать только продукты с уже готовой мультивалютностью и мультиязычностью.</t>
  </si>
  <si>
    <t>IT-04</t>
  </si>
  <si>
    <t>Экспортная инженерная студия под Залив: product studio + staff augmentation + QA/локализация</t>
  </si>
  <si>
    <t>IT и цифровые продукты (экспорт услуг)</t>
  </si>
  <si>
    <t>инженерная студия из Ташкента, целенаправленно продающая не в США (где конкуренция с Индией и Латамом), а в Саудовскую Аравию, ОАЭ и Катар, где ставки высокие, бюджеты цифровизации огромные, а требования к локализации на арабский и к работе в исламской финансовой парадигме — барьер для индийцев.</t>
  </si>
  <si>
    <t>заказчики в GCC: банки и исламские окна, госпрограммы цифровизации, ритейл- и HoReCa-платформы, логистика; вторым эшелоном — консалтинги (Accenture, локальные SI), которым нужен дешёвый delivery-центр.</t>
  </si>
  <si>
    <t>T&amp;M $30-50/час (GCC платит выше США за «near-culture» вендора — оценка, не подтверждено); fixed-price проекты $60-250 тыс.; QA-as-a-Service подписка $8-25 тыс./мес за выделенную QA-команду 4-8 человек. Целевая выручка на 3-й год $2-4 млн (оценка).</t>
  </si>
  <si>
    <t>У заказчиков в Заливе денег много, а инженеров мало и они дороги (местный инженер $6-12 тыс./мес, экспат-индиец $3-5 тыс. — оценка, не подтверждено). Индийские вендоры доминируют, но у них проблемы с культурной близостью, с работой по хиджре/рамадану, с арабской локализацией и с шариатской спецификой продуктов. Узбекистан продаёт то, чего нет у Индии: мусульманская страна, русско-тюркоязычные инженеры, часовой пояс +1 час к Дубаю, дешёвый билет, безвизовый режим.</t>
  </si>
  <si>
    <t>Нишевание, а не «делаем всё». Три вертикали: (1) исламский финтех и банковские фронтенды; (2) логистика и таможенные интеграции; (3) e-commerce и HoReCa-платформы. QA-as-a-Service как «дверь» — низкий порог входа для клиента, быстрый старт, потом апселл на разработку. Локализация ПО (арабский/узбекский/ русский/казахский) как отдельный SKU и как повод для первого контакта. Присутствие: 1 человек в Дубае (DIFC/DMCC), delivery в Ташкенте.</t>
  </si>
  <si>
    <t>Клиент платит $30-50/час против $90-160 у локальных вендоров в Дубае и $55-90 у восточноевропейских (оценка). При команде из 6 инженеров экономия $300-500 тыс./год. Для QA-подписки: выделенная команда за $8-25 тыс./мес против собственного найма 4-8 QA в ОАЭ ($25-60 тыс./мес — оценка).</t>
  </si>
  <si>
    <t>Ближайшие игроки: EPAM Uzbekistan, Exadel, Andersen, iTechArt (в РУз есть делivery-центры — состав не подтверждён); из локальных — десятки студий, но они продают внутрь; в Заливе — индийские TCS/Infosys/Wipro, египетские и иорданские вендоры, пакистанские Systems Ltd, NETSOL. Заменители: заказчик нанимает экспатов через EOR; берёт индийского подрядчика; пользуется Upwork. Почему свободно: узбекские студии по инерции ломятся в США (половина IT-экспорта — США, база фактов), где они самые слабые игроки; Залив требует физического присутствия и отношенческих продаж, к чему мало кто готов; но именно там узбекское происхождение — преимущество, а не нейтральный факт.</t>
  </si>
  <si>
    <t>NETSOL Technologies (Пакистан) — экспортный софт для автолизинга, клиенты в Азии и на Ближнем Востоке, публичная на NASDAQ — не подтверждено в этой сессии. Systems Limited (Пакистан) — крупнейший экспортёр IT-услуг, значительная доля выручки из GCC, публичная на PSX — не подтверждено. Sestek (Турция) — экспорт технологий в 25+ стран, сильные позиции в Заливе — не подтверждено.</t>
  </si>
  <si>
    <t>(а) квоты IT Park 20/35/50% гонят компании в экспорт (база фактов, ОКНО 3); (б) льготный режим до 2040 (0% прибыль, 0% соцналог, НДФЛ 7.5%) делает узбекскую себестоимость инженера структурно ниже, чем в Казахстане и Турции — это устойчивое, законодательно закреплённое до 2040 года ценовое преимущество, а не конъюнктура; (в) кадровое узкое место — сектор ~6 000 человек, значит рост ограничен наймом, и надо целиться в высокомаржинальные, а не в объёмные заказы.</t>
  </si>
  <si>
    <t>100 000 - 200 000 (юрлицо в ОАЭ, один сейлз в Дубае, ядро из 8-12 инженеров и 2 QA-лидов, 12 мес. runway).</t>
  </si>
  <si>
    <t>резидентство IT Park (для 0% налогов); юрлицо в свободной зоне ОАЭ (DMCC/DIFC/IFZA) — лицензия на консалтинг/IT; при работе с банками GCC — требования SAMA/CBUAE по аутсорсингу и по хранению данных (данные банков Залива часто нельзя вывозить — планировать «руки здесь, данные там»).</t>
  </si>
  <si>
    <t>длинный цикл продаж в Заливе (6-12 мес) и требование личных отношений — деньги кончатся раньше первого контракта. Митигация: стартовать с QA/локализации (короткий цикл, малый чек), нанять сейлза с существующей сетью в регионе.</t>
  </si>
  <si>
    <t>IT-05</t>
  </si>
  <si>
    <t>Data &amp; Language BPO: разметка данных и языковые корпуса для ИИ (тюркский пояс)</t>
  </si>
  <si>
    <t>IT и цифровые продукты (экспорт услуг, ИИ-инфраструктура)</t>
  </si>
  <si>
    <t>сервис-компания, поставляющая мировым ИИ-лабораториям и вендорам то, что дефицитно и не воспроизводится в Индии: размеченные речевые и текстовые данные на узбекском, каракалпакском, казахском, киргизском, таджикском и русском, плюс экспертная разметка и RLHF-оценка.</t>
  </si>
  <si>
    <t>ИИ-лаборатории и подрядчики (Scale AI, Surge, Invisible, Appen-подобные), большие технологические компании, локализующие модели под ЦА-рынки; вторично — локальные банки и госорганы, которым нужны свои корпуса.</t>
  </si>
  <si>
    <t>оплата за единицу — от $0.05-0.5 за простую разметку до $15-60/час за экспертную (юрист, врач, программист) — оценка, ставки не подтверждены. Контракт с одной лабораторией $200 тыс. - $2 млн/год. Отдельный SKU — лицензирование собственных датасетов (речевой корпус узбекского) с повторяющейся выручкой.</t>
  </si>
  <si>
    <t>Мировые модели плохо работают с узбекским: две письменности (латиница и кириллица), агглютинативная морфология, диалекты, дефицит размеченных речевых данных. Любой вендор, желающий продать ИИ-продукт в Центральную Азию или Турцию, упирается в отсутствие данных. Купить их негде — рынка нет. Одновременно ИИ-лаборатории ищут «неиндийские» источники экспертной разметки из-за перегрева и качества.</t>
  </si>
  <si>
    <t>Три линии. (1) Language data: собственные корпуса — речь (тысячи часов с разными диалектами и возрастами), параллельные тексты, транслитерация латиница-кириллица, доменные корпуса (медицина, право, финансы). Продаются многократно — это актив, а не услуга. (2) Разметка на заказ: обученные команды 100-500 человек, ISO 27001, безопасные помещения, NDA-режим. (3) Экспертная разметка/RLHF: студенты и выпускники медвузов, юрфаков, технических вузов — здесь высокая ставка и низкая конкуренция. Наём — в регионах (Фергана, Самарканд, Наманган), где зарплаты ниже, а выпускников много.</t>
  </si>
  <si>
    <t>Для клиента: узбекский речевой корпус стоимостью $150-400 тыс. и 6-9 мес. своими силами (оценка) покупается готовым за $30-80 тыс. Для экспертной разметки: узбекский врач-разметчик $12-25/час против $40-80 в Восточной Европе (оценка). Для основателя: бизнес на 100% экспортный и капиталоёмкость низкая — главные затраты в людях.</t>
  </si>
  <si>
    <t>Ближайшие игроки: в РУз — не выявлено крупных специализированных игроков (не подтверждено, требует проверки); IT Park продвигает BPO как направление. Глобально — Sama (Кения), CloudFactory (Непал/Кения), iMerit (Индия), Appen (Австралия), Scale AI (США) — все финансовые показатели не подтверждены в этой сессии. Заменители: лаборатории нанимают фрилансеров через Toloka/MTurk и получают плохое качество на узбекском; используют синтетические данные; не выходят на рынок вовсе. Почему свободно: язык маленький по глобальным меркам, поэтому Appen и Scale не строят под него операции; локальные BPO не знают, как продавать ИИ-лабораториям; нужен редкий гибрид — лингвистика + западные продажи + операционка на сотни людей.</t>
  </si>
  <si>
    <t>Sama (Кения) — разметка данных для ИИ, тысячи сотрудников в Восточной Африке, клиенты уровня Google/Walmart, выручка порядка $100 млн — не подтверждено в этой сессии. CloudFactory (Непал/Кения) — тот же impact-sourcing, привлекла ~$65 млн — не подтверждено. iMerit (Индия) — экспертная разметка, тысячи сотрудников — не подтверждено.</t>
  </si>
  <si>
    <t>(а) квоты экспорта IT Park (база фактов, ОКНО 3) — этот бизнес на 100% экспортный, идеальный резидент; (б) кадровый профиль страны: доля лиц с высшим образованием выросла с 9% до 42%, вузов 211 против 77 семь лет назад (база фактов, ОКНО 11) — то есть появился массовый слой образованных людей без хорошей работы, что и есть сырьё для экспертной разметки; (в) внутренняя миграция и высокая безработица в регионах.</t>
  </si>
  <si>
    <t>150 000 - 300 000 (первый офис на 80-120 рабочих мест в регионе, платформа разметки, ISO 27001, 2 сейлза в США/ЕС, создание первого собственного речевого корпуса).</t>
  </si>
  <si>
    <t>ISO 27001 и SOC 2 — фактически обязательны как требования клиентов; при обработке персональных данных граждан РУз — требование локализации (ЗРУ о ПДн, обязанность хранения на серверах в РУз с 16.04.2021 и регистрация в госреестре баз ПДн — подтверждено поиском; смягчение обсуждалось в 2026 — проверить); авторские права на корпуса и согласия дикторов — оформлять с самого начала.</t>
  </si>
  <si>
    <t>маржа схлопывается из-за автоматизации разметки самими моделями. Митигация: смещаться от простой разметки к экспертной и к собственным лицензируемым датасетам (актив, а не человекочасы).</t>
  </si>
  <si>
    <t>IT-06</t>
  </si>
  <si>
    <t>Узбекский речевой стек: ASR/TTS + ИИ-колл-центр</t>
  </si>
  <si>
    <t>IT и цифровые продукты (ИИ-продукт)</t>
  </si>
  <si>
    <t>движок распознавания и синтеза узбекской речи (латиница + кириллица, диалекты, смешанная узбекско-русская речь) и построенный на нём голосовой ИИ-агент для колл-центров банков, телекомов, страховых и госуслуг.</t>
  </si>
  <si>
    <t>банки и МФО (взыскание, верификация, продажи), телеком-операторы, страховые, маркетплейсы и служба доставки, госконтакт-центры; вторично — вендоры CRM/контакт-центров как OEM-клиенты.</t>
  </si>
  <si>
    <t>(а) API за минуту распознавания/синтеза $0.006-0.02/мин (оценка); (б) ИИ-агент как подписка $0.05-0.15 за обработанный разговор или $3-8 тыс./мес за линию; (в) корпоративная лицензия on-premise $60-200 тыс./год для банков, которым нельзя в облако. Средний банк-клиент — $80-250 тыс./год (оценка).</t>
  </si>
  <si>
    <t>Колл-центры в РУз массово обслуживают узбекоязычных клиентов, где до 70% разговора — смесь узбекского и русского (оценка). Глобальные движки (Google, Azure, Whisper) на такой речи дают заметно худшее качество, а Yandex SpeechKit силён в русском. Итог: контакт-центры держат сотни живых операторов на рутине (баланс, статус заявки, напоминание о платеже). Стоимость оператора в Ташкенте $250-450/мес полной стоимости (оценка) — колл-центр на 200 человек это $600 тыс. - $1.1 млн/год.</t>
  </si>
  <si>
    <t>(1) Собрать собственный речевой корпус узбекского (можно совместно с IT-05) — это главный барьер входа и главный актив. (2) Дообучить открытые архитектуры (Whisper-класс для ASR, VITS-класс для TTS) на узбекском и code-switching. (3) Поверх — конструктор голосовых сценариев с интеграциями в местные телефонии и CRM. (4) Приоритет: on-premise/приватное развёртывание, потому что банковские и персональные данные нельзя вывозить (см. режим ПДн). (5) Ранняя монетизация — не «ИИ-агент вместо людей», а «ИИ-агент на исходящих напоминаниях и на 30% простейших входящих», где риск для клиента минимален.</t>
  </si>
  <si>
    <t>Замена 30% рутинных обращений ИИ-агентом в колл-центре на 200 человек экономит ~$180-330 тыс./год (оценка) при цене решения $80-250 тыс./год. Плюс работа 24/7 и стабильное качество. Для API-клиентов: качество распознавания узбекского выше глобальных движков — конкретную дельту надо мерить на своём бенчмарке (обязательный первый артефакт продукта).</t>
  </si>
  <si>
    <t>Ближайшие игроки: Yandex SpeechKit (силён в русском, узбекский слабее — не подтверждено), Google/Azure Speech (узбекский поддержан, качество на смешанной речи неизвестно — не подтверждено), локальные разработчики речевых решений при IT Park и вузах (состав не подтверждён), интеграторы контакт-центров (Genesys/Avaya-партнёры), Uzum, Click, Payme имеют внутренние ИИ-команды. Заменители: живые операторы; IVR с тональным набором; SMS и push вместо звонка; чат-боты в Telegram (в РУз Telegram — доминирующий канал). Почему свободно: узбекский слишком мал для приоритетов Google/Microsoft, но слишком велик (36+ млн населения) для «не делать вовсе»; данные для обучения никто не собрал; барьер — не модель, а корпус.</t>
  </si>
  <si>
    <t>Sestek (Турция) — речевые технологии и ИИ-контакт-центр на турецком, экспорт в 25+ стран — не подтверждено в этой сессии. Sarvam AI (Индия) — модели под индийские языки, привлекла ~$41 млн — не подтверждено. AI4Bharat (Индия) — открытые корпуса индийских языков, на которых выросла целая индустрия — не подтверждено. Prosa.ai (Индонезия) — ASR/TTS на индонезийском для банков и госсектора — не подтверждено.</t>
  </si>
  <si>
    <t>(а) режим локализации персональных данных — ПДн граждан РУз должны храниться на серверах в стране, место хранения регистрируется в госреестре баз ПДн (действует с 16.04.2021; ответственность ужесточена, штраф для должностных лиц до 50 БРВ) — подтверждено поиском. Это выталкивает банки из глобальных облачных речевых API и создаёт спрос на локальный/on-premise движок. В январе 2026 сообщалось о смягчении требований к хранению за рубежом — точную редакцию проверить, но даже смягчённый режим оставляет банковскую тайну внутри страны. (б) Квоты IT Park (ОКНО 3) — продукт экспортируем в Казахстан, Кыргызстан, Турцию, Азербайджан.</t>
  </si>
  <si>
    <t>400 000 - 800 000 (сбор корпуса, GPU-мощности или аренда, команда ML 4-6 человек + лингвисты, 18-24 мес. до устойчивой выручки).</t>
  </si>
  <si>
    <t>локализация ПДн и регистрация базы в госреестре; для работы с банками — требования ЦБ к аутсорсингу ИТ и к обработке банковской тайны; запись разговоров требует согласия абонента; при экспорте в ЕС — GDPR.</t>
  </si>
  <si>
    <t>через 12-24 месяца открытые мультиязычные модели догонят качество на узбекском, и продукт обесценится. Митигация: ценность переносить в вертикальные сценарии, интеграции и приватное развёртывание, а не в сам ASR; корпус держать как проприетарный актив.</t>
  </si>
  <si>
    <t>IT-07</t>
  </si>
  <si>
    <t>IDP/OCR узбекских документов: латиница, кириллица, рукописный ввод, печати</t>
  </si>
  <si>
    <t>IT и цифровые продукты (ИИ-инфраструктура)</t>
  </si>
  <si>
    <t>движок интеллектуальной обработки документов, который надёжно читает узбекские документы в обеих письменностях — паспорта и ID-карты, счета-фактуры, товарно-транспортные накладные, таможенные декларации, справки, выписки, рукописные бланки, печати и штампы — и отдаёт структурированные данные по API.</t>
  </si>
  <si>
    <t>банки и МФО (пакеты документов заёмщика), страховые (урегулирование убытков), логистика и таможенные брокеры (ТТН, инвойсы, декларации), нотариат и юрфирмы, бухгалтерские аутсорсеры, госорганы, лизинг.</t>
  </si>
  <si>
    <t>$0.01-0.08 за страницу в облаке; on-premise лицензия $25-120 тыс./год для банка; проектная интеграция $15-60 тыс. Средний корпоративный клиент $40-150 тыс./год (оценка).</t>
  </si>
  <si>
    <t>Узбекистан живёт в состоянии двойной письменности: официальный переход на латиницу не завершён, архивы и значительная часть документооборота — кириллица, бланки заполняются от руки, печати обязательны. Банк, обрабатывающий 3-5 тыс. кредитных заявок в месяц, держит бэк-офис из десятков операторов на ручном вводе. Стоимость ручного ввода одного пакета документов — 8-20 минут оператора (оценка) при зарплате оператора $250-400/мес. Ошибки ручного ввода порождают кредитные и комплаенс-риски.</t>
  </si>
  <si>
    <t>Ядро — дообученные модели распознавания на собственном корпусе узбекских документов (это опять же барьер: корпуса нет ни у кого). Поверх — библиотека готовых экстракторов по типам документов РУз (ID-карта, паспорт, ИНН/ПИНФЛ, счёт-фактура, ЭСФ, ТТН, ГТД, банковская выписка, справка о доходах), валидация по контрольным разрядам и по госреестрам, human-in-the-loop для спорных полей. Обязательно on-premise-вариант: банковская тайна и ПДн. Первый клиентский сегмент — не банки (долгий цикл), а таможенные брокеры и бухгалтерские аутсорсеры (быстрый цикл, явная экономия).</t>
  </si>
  <si>
    <t>Автоматизация 70-85% полей сокращает время обработки пакета с 8-20 минут до 1-3 минут проверки (оценка). Для банка с 4 тыс. заявок/мес это высвобождение 6-12 операторов = $20-55 тыс./год прямой экономии плюс ускорение решения по заявке с 2 дней до нескольких часов (конверсионный эффект обычно больше экономии на ФОТ).</t>
  </si>
  <si>
    <t>Ближайшие игроки: ABBYY (исторический лидер OCR, но узбекская латиница+кириллица+печати — не их фокус, и есть ограничения по присутствию), Yandex Vision, Google Document AI, Azure Form Recognizer (нельзя вывозить ПДн), локальные интеграторы, пишущие OCR «под проект», внутренние команды Uzum, Click, Payme, Kapitalbank (состав не подтверждён в этой сессии). Заменители: ручной ввод операторами; аутсорс ввода в регионы; отказ от оцифровки. Почему свободно: глобальные вендоры не тюнят под узбекскую специфику (две письменности + печати + локальные формы); локальные интеграторы делают одноразовые решения без продукта; регуляторное требование локализации данных отсекает облачные API.</t>
  </si>
  <si>
    <t>Docsumo (Индия/США) — IDP для финансовых документов, привлекла ~$3.5 млн seed и растёт на банках развивающихся рынков — не подтверждено в этой сессии. Klippa (Нидерланды) — IDP как API — не подтверждено. Signzy (Индия) — извлечение данных из индийских документов для банков, сотни банков-клиентов — не подтверждено. Механика «локальный OCR под национальную специфику побеждает глобальный» повторилась в Индии, Индонезии, Вьетнаме.</t>
  </si>
  <si>
    <t>(а) локализация ПДн (обязанность хранить данные граждан РУз на серверах в стране, регистрация в госреестре баз ПДн, ужесточённые штрафы) — подтверждено поиском, это прямой запрет на Google/Azure для этих задач; (б) массовый переход госуслуг и налогового документооборота в электронный вид (электронные счета-фактуры) — создаёт гибридный поток «часть электронно, часть на бумаге», который надо сводить; (в) квоты IT Park (ОКНО 3) — продукт экспортируем в Казахстан (та же кириллица+латиница проблема), Кыргызстан, Азербайджан, Туркменистан.</t>
  </si>
  <si>
    <t>200 000 - 400 000 (сбор и разметка корпуса документов, команда ML 3-4 человека, продажник в B2B-финсектор, 12-18 мес.).</t>
  </si>
  <si>
    <t>локализация ПДн и регистрация базы; при работе с банками — согласование обработки банковской тайны; при обработке биометрии (лицо на ID) — повышенные требования; целесообразно ISO 27001.</t>
  </si>
  <si>
    <t>мультимодальные LLM общего назначения «съедят» задачу. Митигация: строить ценность на валидации по локальным реестрам, на готовых экстракторах локальных форм и на on-premise-развёртывании, где облачные LLM недоступны по закону.</t>
  </si>
  <si>
    <t>IT-08</t>
  </si>
  <si>
    <t>Юридический ИИ поверх Lex.uz: поиск, анализ рисков договора, отслеживание изменений</t>
  </si>
  <si>
    <t>IT и цифровые продукты (ИИ-продукт, вертикаль «право»)</t>
  </si>
  <si>
    <t>ИИ-помощник юриста на узбекском и русском, построенный на корпусе национального законодательства (Lex.uz), судебной практики и подзаконных актов: ищет норму, объясняет её, размечает риски в договоре и уведомляет клиента, когда изменение закона касается конкретно его бизнеса.</t>
  </si>
  <si>
    <t>юридические департаменты банков, страховых, застройщиков, фарм- и агроэкспортёров; юрфирмы и консалтинг; комплаенс-функции; бухгалтерские аутсорсеры; средний бизнес без своего юриста.</t>
  </si>
  <si>
    <t>подписка $60-150 за место/мес для юрфирм; корпоративная лицензия $8-40 тыс./год; отдельный модуль «мониторинг изменений законодательства по вашему профилю» $2-6 тыс./год. Средний чек по портфелю $6-25 тыс./год (оценка).</t>
  </si>
  <si>
    <t>В РУз законодательство меняется очень быстро — только в базе фактов за 2026 год: закон об исламских финансах ЗРУ-1126 (в силе с 29.06.2026), новый закон о рынке капитала (проект 13.08.2026), обязательный GMP с 01.01.2026, доступ частных клиник к бюджету с 01.07.2026, эскроу в долевом строительстве с 01.01.2026, новые тарифы на энергию с 01.06.2026, ПП-269 от 17.07.2026 по образованию, привлечение частных инвесторов в вузы с 08.09.2026. Юрист физически не успевает читать. Пропущенное изменение стоит компании штрафов, потери лицензии или срыва сделки. Сейчас проблему «решают» подпиской на Telegram-каналы и рассылки консалтингов — то есть никак.</t>
  </si>
  <si>
    <t>(1) Индексация Lex.uz, актов министерств, разъяснений налоговой и ЦБ, доступной судебной практики; поддержка узбекского (обе письменности) и русского. (2) Retrieval-augmented ответы со ссылкой на статью — без ссылки ответ не выдаётся (единственный способ добиться доверия юриста). (3) Модуль «профиль организации»: отрасль, лицензии, налоговый режим — и персональные уведомления только о релевантных изменениях. (4) Договорный модуль: сравнение с типовыми формами, разметка рисковых условий, чек-листы по отраслевым требованиям. (5) Продажа через юрфирмы как канал.</t>
  </si>
  <si>
    <t>Один младший юрист стоит $600-1200/мес в Ташкенте (оценка) — подписка за $100/мес заменяет часть его рутины (поиск нормы, первичный анализ договора). Для среднего бизнеса без юриста: $2-6 тыс./год против $12-30 тыс. за абонентское юробслуживание (оценка).</t>
  </si>
  <si>
    <t>Ближайшие игроки: Lex.uz (государственная база — бесплатная, но это поиск по тексту, а не ИИ), Norma.uz (коммерческая правовая база и консультации, сильный локальный игрок — статус не подтверждён в этой сессии), Buxgalter.uz, консультационные линии Big4 и локальных юрфирм, Гарант/КонсультантПлюс-подобные российские продукты в части общего права. Заменители: Ctrl+F по Lex.uz; звонок знакомому юристу; Telegram-каналы; ChatGPT/Claude «на удачу» (галлюцинирует на узбекском праве). Почему свободно: нужен одновременно юридический корпус, узбекская морфология и доверие профессионального сообщества; глобальным legal-AI (Harvey, Luminance) рынок неинтересен; локальные правовые базы — контентные компании, а не ИИ-разработчики.</t>
  </si>
  <si>
    <t>CaseMine (Индия) — ИИ-поиск судебной практики, используется индийскими юрфирмами — не подтверждено в этой сессии. Manupatra / SCC Online (Индия) — коммерческие правовые базы, выросшие в ИИ-продукты — не подтверждено. Jus Mundi (Франция) — не подтверждено. Механика «национальная правовая база + ИИ» реализована в России (Гарант, КонсультантПлюс с ИИ-помощниками) и в Казахстане (Параграф/Әділет) — не подтверждено.</t>
  </si>
  <si>
    <t>плотность законодательных изменений 2026 года (перечень выше — всё из базы фактов с датами) плюс подготовка к вступлению в ВТО (цель 2026, отмечается отставание по принятию ключевых законов — значит, впереди ещё волна). Отдельный узел: приватизация госбанков перенесена на 2027, новый закон о рынке капитала — рост потребности в комплаенсе.</t>
  </si>
  <si>
    <t>150 000 - 300 000 (индексация корпуса, ML-инженер + 2 юриста-эксперта в команде, 12-18 мес.).</t>
  </si>
  <si>
    <t>проверить правовой режим использования Lex.uz и судебных актов (открытые данные vs лицензия); дисклеймер о том, что продукт не является юридической консультацией; ПДн клиентов — локализация.</t>
  </si>
  <si>
    <t>галлюцинации на праве убивают доверие с первого случая. Митигация: жёсткий retrieval-only режим, обязательная цитата статьи, запрет генерации без источника, экспертная валидация ответов на старте.</t>
  </si>
  <si>
    <t>IT-09</t>
  </si>
  <si>
    <t>Медицинский ИИ: узбекоязычный скрайб и предварительная расшифровка исследований</t>
  </si>
  <si>
    <t>IT и цифровые продукты (ИИ-продукт, вертикаль «здравоохранение»)</t>
  </si>
  <si>
    <t>ИИ, который слушает приём врача на узбекском/русском и сам заполняет медкарту по форме, плюс модуль предварительного описания рентгена/КТ/УЗИ для клиник, где нет своего рентгенолога.</t>
  </si>
  <si>
    <t>частные клиники и медцентры, лабораторно-диагностические сети, страховые компании (за качество кодирования диагнозов), государственные медучреждения через программы аккредитации.</t>
  </si>
  <si>
    <t>скрайб — $25-60 за врача в месяц; предварительная расшифровка — $0.6-2.5 за исследование или подписка $500-2500/мес на клинику. Средняя клиника на 20 врачей — $8-20 тыс./год (оценка).</t>
  </si>
  <si>
    <t>Врач в частной клинике тратит, по разным оценкам, 25-40% приёма на заполнение документации (оценка, не подтверждено для РУз). При этом с 01.07.2026 частные медорганизации получили право оказывать услуги за счёт бюджета по всем направлениям в рамках лицензии (база фактов, ОКНО 5) — а бюджетные деньги означают проверяемую документацию и корректное кодирование. Одновременно ужесточены лицензионные требования (пересмотрены 14 из 48 требований с 01.07.2026), и предстоит обязательное лицензирование госучреждений: 55 республиканских до 01.04.2027 и 413 региональных до конца 2028. Документация становится вопросом не удобства, а допуска к деньгам.</t>
  </si>
  <si>
    <t>(1) Скрайб: узбекский/русский ASR (можно на движке из IT-06), структурирование в форму медкарты, автокодирование по МКБ-10, выгрузка в МИС клиники. Обязательно on-premise или локальное облако — медданные. (2) Предварительная расшифровка: начать с самого объёмного и стандартизуемого (флюорография/рентген грудной клетки), позиционировать строго как «второе мнение и приоритизация», окончательное заключение — за врачом. (3) Канал продаж — через поставщиков МИС и через сети клиник, не в розницу.</t>
  </si>
  <si>
    <t>Скрайб экономит врачу 8-15 минут на приёме (оценка) — при 20 приёмах в день это 2.5-5 часов, то есть +3-6 приёмов в день. При среднем чеке приёма 100-250 тыс. сум это десятки миллионов сум дополнительной выручки в месяц на врача (оценка) против $25-60/мес за подписку. Экономика очевидна даже при консервативных допущениях.</t>
  </si>
  <si>
    <t>Ближайшие игроки: поставщики МИС в РУз (локальные разработчики медицинских информационных систем — состав не подтверждён), российские Botkin.AI, Третье Мнение, Цельс (радиология), глобальные Nabla, Abridge, Suki (скрайб, английский), Lunit, Qure.ai (радиология). Заменители: врач пишет от руки или диктует медсестре; заключения по рентгену возят в областной центр или отправляют по Telegram знакомому рентгенологу (реальная практика); просто не документируют. Почему свободно: англоязычные скрайбы не работают на узбекском; российские радиологические ИИ не сертифицированы в РУз и не покрывают узбекский документооборот; локальные МИС-вендоры не имеют ML-компетенции.</t>
  </si>
  <si>
    <t>Qure.ai (Индия) — ИИ для рентгена, развёрнут в десятках стран включая программы скрининга туберкулёза, привлекла ~$65 млн — не подтверждено в этой сессии. Nabla (Франция) — ИИ-скрайб, ~$70 млн привлечено — не подтверждено. Augnito (Индия) — медицинское распознавание речи с экспансией на Ближний Восток — не подтверждено. Важный региональный прецедент: Qure.ai и Delft Imaging массово внедряются в скрининге ТБ в развивающихся странах через донорские программы — не подтверждено.</t>
  </si>
  <si>
    <t>ОКНО 5 (база фактов) целиком: с 01.07.2026 частные клиники допущены к бюджетному финансированию по всем направлениям в рамках лицензии; $200 млн льготных кредитов на новые частные клиники; число частных клиник 3 200 (2016) → ожидается 8 700 к концу 2026; обязательное лицензирование госучреждений (55 республиканских до 01.04.2027, 413 региональных до конца 2028) — гигантский разовый поток работ по аккредитации, где документация и её качество проверяются.</t>
  </si>
  <si>
    <t>250 000 - 500 000 (медицинский корпус и разметка врачами, ML-команда, регуляторная работа, 18-24 мес.).</t>
  </si>
  <si>
    <t>ключевой вопрос — статус ИИ как медизделия в РУз: для диагностических функций почти наверняка потребуется регистрация (Центр лицензирования и аккредитации медорганизаций / профильный регулятор медизделий) — проверить в полевом круге. Медданные = особая категория ПДн, обязательная локализация. Скрайб (документирование) регуляторно значительно проще, чем диагностика — начинать с него.</t>
  </si>
  <si>
    <t>регуляторный: диагностический модуль зависнет в регистрации на 18-30 месяцев. Митигация: выручка со скрайба и приоритизации (не диагностика), диагностику выводить вторым этапом.</t>
  </si>
  <si>
    <t>IT-10</t>
  </si>
  <si>
    <t>«Исламское окно как SaaS»: шариатский модуль поверх ядра банка</t>
  </si>
  <si>
    <t>IT и цифровые продукты (финтех-инфраструктура)</t>
  </si>
  <si>
    <t>готовый программный модуль, который надстраивается над существующей банковской системой и позволяет банку за 4-8 месяцев запустить «исламское окно» с продуктами мурабаха, иджара, мушарака, мудараба, вакала и салам — с раздельным учётом средств, шариатским аудит-следом и отчётностью.</t>
  </si>
  <si>
    <t>коммерческие банки, лизинговые компании, МФО и страховые (такафул), запускающие исламские продукты; вторично — регулятор и Совет по исламским финансам при ЦБ (аналитика, надзорная отчётность).</t>
  </si>
  <si>
    <t>внедрение $150-400 тыс. + подписка $80-250 тыс./год на банк, либо модель «за транзакцию» 0.05-0.15% от объёма портфеля. При 8-12 клиентах — $1.5-3 млн ARR (оценка).</t>
  </si>
  <si>
    <t>Закон ЗРУ-1126 от 28.03.2026 вступил в силу 29.06.2026; разрешены мудараба, вакала, мурабаха, салам, мушарака, иджара; при ЦБ создаётся Совет по исламским финансам; 10+ кредитных организаций готовятся, до конца 2026 ожидаются первые «исламские окна», к 2030 — два полноценных исламских банка (база фактов, ОКНО 1). У этих 10+ организаций одна и та же проблема: их АБС (Colvir, Bars, iABS, собственные разработки) не умеет в исламский учёт — там нет процента, есть купля-продажа с наценкой, есть разделение прибыли и убытков, есть требование сегрегации средств. Переписывать ядро — 18-36 месяцев и миллионы долларов. Купить готовое ядро (Path Solutions iMAL, Temenos) — дорого и не адаптировано под узбекскую отчётность.</t>
  </si>
  <si>
    <t>Не заменять АБС, а надстраивать. Модуль-«окно»: отдельный контур учёта и продуктовый движок с шариатскими схемами, интеграция с существующей АБС через API/файловый обмен, шаблоны договоров под каждый инструмент, калькуляторы наценки и распределения прибыли, шариатский аудит-след (кто утвердил, какое фетва-заключение применено), отчётность в ЦБ. Партнёрство с шариатским консультантом/советом — это часть продукта: банк покупает не софт, а «соответствие».</t>
  </si>
  <si>
    <t>Запуск за 4-8 мес и $250-650 тыс. полной стоимости против 18-36 мес и $1.5-4 млн при замене ядра (оценка). Для банка, который рассчитывает привлечь исламские депозиты, каждый месяц задержки — упущенная доля на рынке, где сейчас никого нет.</t>
  </si>
  <si>
    <t>Ближайшие игроки: Path Solutions / Azentio (iMAL) — исламское ядро, внедрено в 130+ банках в 40 странах (не подтверждено); Codebase Technologies (ОАЭ); Temenos, Oracle FLEXCUBE с исламскими модулями; ICSFS (Иордания). В РУз — Alif (исламский финтех, присутствует в РУз и Таджикистане, статус не подтверждён), Iman.uz (исламское финансирование/рассрочка, статус не подтверждён), локальные вендоры АБС. Заменители: банк лепит «исламский продукт» вручную на костылях в текущей АБС (реальная и рискованная практика); нанимает внешних консультантов; откладывает запуск. Почему свободно: закон вступил в силу три месяца назад (29.06.2026); глобальные вендоры дороги и не знают узбекскую отчётность в ЦБ; локальные вендоры не знают шариатский учёт. Идеальный регуляторный лаг.</t>
  </si>
  <si>
    <t>Path Solutions (Кувейт) — iMAL, специализированное исламское ядро, внедрения в десятках стран — не подтверждено в этой сессии. Codebase Technologies (ОАЭ) — Digibanc, цифровые исламские банки в Азии и на Ближнем Востоке — не подтверждено. Казахстан: Al Hilal Bank и Заман-Банк, а также запуск исламских окон после изменений законодательства — местные интеграторы получили поток внедрений — не подтверждено.</t>
  </si>
  <si>
    <t>Закон ЗРУ-1126 от 28.03.2026 (подписан 27.03.2026), в силе с 29.06.2026; разрешены шесть инструментов; Совет по исламским финансам при ЦБ из 5 членов (стандарты, НПА, спорные вопросы); 10+ кредитных организаций готовятся; к 2030 — два полноценных исламских банка (всё — база фактов, ОКНО 1). Глобальный класс активов ~$3.88 трлн.</t>
  </si>
  <si>
    <t>500 000 - 1 000 000 (команда 12-18 человек с банковской экспертизой, шариатский консультант, первый пилот за свой счёт, 18-24 мес.).</t>
  </si>
  <si>
    <t>сам вендор лицензии не требует, но продукт должен соответствовать НПА, которые Совет по исламским финансам при ЦБ ещё только принимает — главный риск и главный шанс: кто участвует в разработке стандартов, тот и получает рынок. Требования ЦБ к аутсорсингу ИТ в банках, локализация данных, банковская тайна.</t>
  </si>
  <si>
    <t>НПА ещё не написаны — можно построить продукт под неверную трактовку. Митигация: войти в рабочие группы при ЦБ/Совете, строить архитектуру максимально конфигурируемой, первый пилот делать с банком, который сам участвует в согласовании стандартов.</t>
  </si>
  <si>
    <t>IT-11</t>
  </si>
  <si>
    <t>RegTech-платформа регуляторной отчётности: ЦБ, НАПП, налоговая, статистика</t>
  </si>
  <si>
    <t>IT и цифровые продукты (RegTech)</t>
  </si>
  <si>
    <t>платформа, которая забирает данные из учётных систем финансовой организации и автоматически формирует, валидирует и сдаёт весь пакет регуляторной отчётности — в ЦБ, в НАПП, в налоговую, в статистику — с контролем версий форм и полным аудит-следом.</t>
  </si>
  <si>
    <t>банки, МФО, ломбарды, страховые, лизинговые компании, профучастники рынка ценных бумаг, эмитенты облигаций, платёжные организации.</t>
  </si>
  <si>
    <t>подписка по размеру организации: МФО/ломбард $500-2 000/мес, страховая/лизинг $2-6 тыс./мес, банк $8-25 тыс./мес. Внедрение $20-120 тыс. Целевой ARR при 60-100 клиентах $3-6 млн (оценка).</t>
  </si>
  <si>
    <t>Отчётность в РУз сейчас в значительной мере собирается вручную в Excel сотрудниками бэк-офиса, сверяется глазами и грузится в разные порталы разных регуляторов. Формы меняются часто. Ошибка = предписание, штраф, в пределе — проблемы с лицензией. Для банка команда отчётности — это 6-15 человек (оценка), для МФО — 1-3. Плюс каждое изменение формы требует переделки выгрузок и стоит недели работы.</t>
  </si>
  <si>
    <t>(1) Коннекторы к распространённым в РУз АБС и учётным системам. (2) Единая модель данных + библиотека форм всех регуляторов с версионированием (когда форма меняется — обновляется у всех клиентов централизованно, это главная ценность подписки). (3) Слой автоматических проверок: внутренняя согласованность, межформенные сверки, сравнение с прошлым периодом, предупреждение о нарушении нормативов ДО отправки. (4) Аудит-след и разграничение доступа. (5) Отдельный модуль под новый рынок капитала: раскрытие информации эмитентами для НАПП.</t>
  </si>
  <si>
    <t>Сокращение команды отчётности на 30-50% и почти полное устранение штрафов за ошибки в формах. Для банка: экономия 3-6 ставок = $30-90 тыс./год (оценка) при подписке $96-300 тыс./год — важно: для крупного банка экономия на ФОТ сама по себе не окупает, продавать надо снижением регуляторного риска и скоростью закрытия периода. Для МФО/страховых экономика чище: подписка $6-24 тыс./год против 1-2 ставок $8-20 тыс./год плюс штрафы.</t>
  </si>
  <si>
    <t>Ближайшие игроки: внутренние разработки банков; локальные вендоры АБС, делающие отчётность как модуль; аудиторско-консалтинговые фирмы, продающие ручную услугу подготовки отчётности; глобальные AxiomSL (Adenza/Nasdaq), Vermeg, Wolters Kluwer OneSumX, Regnology — дороги и не покрывают формы РУз. Заменители: Excel + человек; аутсорс бухгалтерии; «как-нибудь сдадим». Почему свободно: формы национальные, глобальные вендоры под них не пойдут ради 30 банков; локальные вендоры АБС продают отчётность как довесок и не развивают; а количество поднадзорных организаций резко растёт (МФО, исламские окна, профучастники нового рынка капитала).</t>
  </si>
  <si>
    <t>IRIS Business Services (Индия) — RegTech/XBRL, публичная компания, работает с регуляторами нескольких стран — не подтверждено в этой сессии. Regnology (Германия) — консолидатор регуляторной отчётности в Европе — не подтверждено. Vermeg (Тунис/Бельгия) — вырос из развивающегося рынка в глобального RegTech-вендора — не подтверждено, но это прямой прецедент «страна второго эшелона рождает RegTech-экспортёра».</t>
  </si>
  <si>
    <t>(а) новый закон о рынке капитала — проект из 16 глав и 123 статей представлен 13.08.2026; регулятор НАПП независим с 09.2023; объём эмиссий 189.7 трлн сум (2023) → 269.4 трлн (01.07.2026); объём торгов вырос ~6x за 2023-2025 (база фактов, ОКНО 2). Новый закон = новые формы раскрытия = массовая переделка отчётности у всех участников. (б) Исламские финансы (ЗРУ-1126, в силе 29.06.2026) — новый вид отчётности для 10+ организаций. (в) Приватизация госбанков перенесена на 2027 — подготовка к продаже требует чистой отчётности.</t>
  </si>
  <si>
    <t>200 000 - 400 000 (команда 8-12 человек, обязательно 2 бывших сотрудника отчётности банка/ЦБ, 12-18 мес.).</t>
  </si>
  <si>
    <t>лицензии не требуется; критично — соответствие требованиям ЦБ к аутсорсингу ИТ и к обработке банковской тайны, локализация данных, ISO 27001 как условие входа в тендеры банков.</t>
  </si>
  <si>
    <t>регулятор сам сделает бесплатный шлюз сдачи отчётности и обнулит ценность. Митигация: ценность не в отправке, а в сборе, сверке и контроле нормативов «до» — это регулятор делать не будет.</t>
  </si>
  <si>
    <t>IT-12</t>
  </si>
  <si>
    <t>eKYC/AML-оркестратор: единое окно проверки клиента для финсектора</t>
  </si>
  <si>
    <t>IT и цифровые продукты (RegTech/финтех-инфраструктура)</t>
  </si>
  <si>
    <t>один API, который для банка, МФО, страховой или брокера проводит клиента через весь путь проверки — биометрия и MyID, сверка с госреестрами, санкционный и PEP-скрининг, оценка риска, мониторинг транзакций и формирование пакета для сообщения в подразделение финразведки.</t>
  </si>
  <si>
    <t>банки, МФО, ломбарды, страховые, платёжные организации, брокеры и управляющие компании, криптоплощадки (НАПП), лизинг, застройщики с эскроу.</t>
  </si>
  <si>
    <t>за проверку $0.15-0.8 (базовая) и $1.5-5 (расширенная с санкциями и PEP); подписка на мониторинг транзакций $2-15 тыс./мес по объёму. Средний клиент $25-150 тыс./год (оценка).</t>
  </si>
  <si>
    <t>Каждая финорганизация строит свою KYC-цепочку заново: интеграция с биометрией, с реестрами, покупка санкционных списков (Dow Jones, Refinitiv — дорого для МФО), написание правил мониторинга. Малому МФО это не по карману, и оно либо нарушает, либо платит консультантам. Одновременно число поднадзорных растёт: исламские окна (10+ организаций), профучастники нового рынка капитала, застройщики с эскроу-счетами. И у всех — общее требование FATF-совместимого комплаенса.</t>
  </si>
  <si>
    <t>Оркестратор, а не собственная биометрия: подключаемся к государственной идентификации (MyID и аналоги — проверить условия доступа для частных вендоров), к госреестрам, к нескольким санкционным провайдерам оптом и перепродаём доступ мелким клиентам по цене, которую они могут заплатить. Сверху — конструктор риск-правил, скоринг риска клиента, кейс-менеджмент для комплаенс-офицера, готовые формы отчётов в финразведку, аудит-след. Дополнительный SKU — проверка контрагента для нефинансового бизнеса (застройщики, экспортёры, лизинг) как более лёгкий вход.</t>
  </si>
  <si>
    <t>Для МФО: комплаенс-стек за $25-40 тыс./год вместо $150-300 тыс. собственной разработки плюс прямые контракты с санкционными провайдерами (оценка). Для банка: сокращение времени онбординга клиента с дней до минут и снижение риска предписаний. Оптовая закупка санкционных данных на 60-100 клиентов даёт вендору маржу, недостижимую для каждого клиента поодиночке — это и есть суть модели.</t>
  </si>
  <si>
    <t>Ближайшие игроки: MyID (национальная биометрическая идентификация — инфраструктура, не конкурент, а поставщик), внутренние комплаенс-системы крупных банков, глобальные Sumsub, Onfido, Jumio, ComplyAdvantage (проблема: вывоз ПДн за рубеж), региональные интеграторы. В РУз известные финтех-игроки — Click, Payme, Uzum Bank, Alif, Uzcard, Humo — строят KYC под себя (не подтверждено). Заменители: ручная проверка комплаенс-офицером; копия паспорта в папке; бесплатные санкционные списки в открытом доступе (неполные). Почему свободно: глобальные вендоры упираются в локализацию ПДн; локальные строят «для себя», а не как продукт; и главное — рынок поднадзорных организаций именно сейчас расширяется тремя новыми когортами разом.</t>
  </si>
  <si>
    <t>Signzy (Индия) — цифровой онбординг и KYC, сотни банков-клиентов, привлекла ~$26 млн Series B — не подтверждено в этой сессии. HyperVerge (Индия) — eKYC на развивающихся рынках, ~$27 млн Series B — не подтверждено. IDfy (Индия) — не подтверждено. Tarabut Gateway (Бахрейн) — финансовая инфраструктура как API в GCC — не подтверждено.</t>
  </si>
  <si>
    <t>(а) ЗРУ-1126 об исламских финансах в силе с 29.06.2026, 10+ организаций запускают исламские окна — новые поднадзорные (база фактов, ОКНО 1); (б) новый закон о рынке капитала (проект 13.08.2026) — новые профучастники под надзором НАПП (ОКНО 2); (в) эскроу в долевом строительстве с 01.01.2026 через уполномоченные банки — новые процедуры идентификации дольщиков (ОКНО 9-бис); (г) режим локализации ПДн — прямой барьер для Sumsub/Onfido (подтверждено поиском); (д) цель вступления в ВТО в 2026 и общее давление на соответствие FATF.</t>
  </si>
  <si>
    <t>300 000 - 600 000 (интеграции с госсистемами, оптовые контракты на санкционные данные, ISO 27001, команда 10-14 человек, 12-18 мес.).</t>
  </si>
  <si>
    <t>ключевой вопрос — правовой статус доступа частного вендора к государственным реестрам и биометрии; требуется соглашение/аккредитация (проверить в полевом круге, это go/no-go). Локализация ПДн, обработка биометрии (особая категория), требования ЦБ к аутсорсингу, требования подразделения финансовой разведки.</t>
  </si>
  <si>
    <t>государство закроет или монополизирует доступ к реестрам, либо само выпустит бесплатный KYC-шлюз. Митигация: строить ценность в оркестрации, риск-правилах и кейс-менеджменте (регулятор это не делает), а также в санкционном скрининге, который завязан на коммерческих данных.</t>
  </si>
  <si>
    <t>MED-01</t>
  </si>
  <si>
    <t>Сеть амбулаторного диализа под бюджетный заказ</t>
  </si>
  <si>
    <t>Здоровье и фарма</t>
  </si>
  <si>
    <t>Сеть амбулаторных диализных центров на 20-30 аппаратов, живущая на бюджетном тарифе за сеанс, с собственной водоподготовкой и логистикой расходников.</t>
  </si>
  <si>
    <t>Государство (бюджет/фонд медстрахования) за сеанс; доплата пациентов за премиальные расходники и транспорт.</t>
  </si>
  <si>
    <t>Тариф за сеанс; пациент на гемодиализе = 156 сеансов/год. При тарифе $60-90 за сеанс (оценка) один аппарат в 3 смены даёт $50-80 тыс./год выручки.</t>
  </si>
  <si>
    <t>Больные ТХПН привязаны к аппарату пожизненно и 3 раза в неделю; сейчас очередь и привязка к областным госцентрам, часть пациентов ездит за 100-200 км или теряет сеансы.</t>
  </si>
  <si>
    <t>Ставим центры в областных центрах и крупных районах рядом с потоком, берём бюджетный заказ по лицензии, замыкаем на себя закупку диализаторов и концентратов (главная статья себестоимости).</t>
  </si>
  <si>
    <t>Пациент получает сеанс в своём городе вместо поездки в областной центр; государству сеанс обходится не дороже госцентра, но без капзатрат на стройку.</t>
  </si>
  <si>
    <t>Ближайшие игроки — Akfa Medline, Intermed, региональные госцентры нефрологии; заменители — государственные диализные отделения и поездки в Казахстан. Место свободно потому, что до 01.07.2026 частник не мог получать бюджет по этому направлению — экономика не сходилась.</t>
  </si>
  <si>
    <t>B. Braun Avitum, Казахстан — сеть частных диализных центров, работающих в системе ГОБМП; частные операторы забрали основную часть диализа в РК (доля — оценка). Fresenius Medical Care, Турция — 60+ центров на госфинансировании (оценка).</t>
  </si>
  <si>
    <t>С 01.07.2026 частные медорганизации оказывают услуги за счёт бюджета по всем направлениям лицензии; $200 млн льготных кредитов на новые частные клиники.</t>
  </si>
  <si>
    <t>1.5-3 млн на центр (аппараты, водоподготовка, помещение).</t>
  </si>
  <si>
    <t>Лицензия медорганизации (новые требования с 01.07.2026), аккредитация для прямого договора с фондом, санэпид-заключение на водоподготовку.</t>
  </si>
  <si>
    <t>Тариф установлен ниже себестоимости или задержки бюджетных платежей — при 156 сеансах/год кассовый разрыв убивает проект быстрее, чем низкая маржа.</t>
  </si>
  <si>
    <t>MED-02</t>
  </si>
  <si>
    <t>Центры амбулаторной хирургии и дневного стационара</t>
  </si>
  <si>
    <t>Узкопрофильные центры «хирургия одного дня» (грыжи, варикоз, проктология, ЛОР, лапароскопия) с потоковой моделью и бюджетными квотами.</t>
  </si>
  <si>
    <t>Пациент напрямую + бюджет/квоты по направлениям лицензии; часть — работодатели.</t>
  </si>
  <si>
    <t>Пакет «операция под ключ» $250-800; 4-8 операций на операционную в день; выручка одного центра $0.8-1.5 млн/год (оценка).</t>
  </si>
  <si>
    <t>Плановая малая хирургия в госбольнице означает койку на 5-7 дней, «неофициальные» расходы и очередь; в многопрофильной частной клинике та же операция стоит в 2-3 раза дороже из-за накладных на койко-фонд.</t>
  </si>
  <si>
    <t>Забираем 15-20 самых массовых вмешательств, ставим 2-3 операционные без стационарного корпуса, выписка в тот же день, хирурги на сдельной оплате за случай.</t>
  </si>
  <si>
    <t>Цена на 30-50% ниже многопрофильной частной клиники при том же качестве; пациент теряет 1 день вместо недели.</t>
  </si>
  <si>
    <t>Akfa Medline, Grand Medical, Shifo, Intermed делают то же, но внутри дорогой многопрофильной структуры; заменители — госбольница и поездка в Казахстан/Турцию. Место свободно, потому что модель «узкий профиль + поток + низкая себестоимость койки» требует другой операционной дисциплины, а не более дорогого оборудования.</t>
  </si>
  <si>
    <t>Pristyn Care, Индия — сеть day-care хирургии, Series E $96 млн (2021, Tiger Global/Sequoia), оценка ~$1.4 млрд; модель «узкие плановые операции без стационара».</t>
  </si>
  <si>
    <t>С 01.07.2026 бюджет доступен по всем направлениям лицензии + $200 млн льготных кредитов; частных клиник 3 200 (2016) → ~8 700 (конец 2026) — рынок услуг растёт, но именно дневная хирургия как формат почти не выделена.</t>
  </si>
  <si>
    <t>1.5-2.5 млн.</t>
  </si>
  <si>
    <t>Медицинская лицензия по хирургическим профилям, требования к операционному блоку (в числе ужесточённых с 01.07.2026), стерилизация.</t>
  </si>
  <si>
    <t>Осложнение без своего стационара — нужен договор о переводе с многопрофильной больницей, иначе репутационный обвал с первого случая.</t>
  </si>
  <si>
    <t>MED-03</t>
  </si>
  <si>
    <t>Онкологический центр: химиотерапия и лучевая терапия</t>
  </si>
  <si>
    <t>Частный онкоцентр с дневным химиостационаром и линейным ускорителем, работающий по бюджетным квотам плюс платный сегмент.</t>
  </si>
  <si>
    <t>Бюджет (квоты на онкопомощь), пациенты и их семьи, страховые ДМС.</t>
  </si>
  <si>
    <t>Курс лучевой терапии $1.5-4 тыс.; цикл химиотерапии $200-900; один линейный ускоритель обслуживает 400-600 пациентов/год (оценка).</t>
  </si>
  <si>
    <t>Онкопациенты и их семьи сегодня едут в Казахстан, Турцию и Индию — это $5-20 тыс. на курс плюс проживание; внутри страны — очередь на лучевую терапию и дефицит ускорителей.</t>
  </si>
  <si>
    <t>Ставим 1-2 линейных ускорителя + дневной химиостационар + аптеку цитостатиков с централизованным разведением; закрываем маршрут «диагноз → лечение» без выезда за границу.</t>
  </si>
  <si>
    <t>Курс внутри страны в 3-5 раз дешевле поездки в Турцию; для бюджета — оплата за случай вместо капстроительства онкодиспансера.</t>
  </si>
  <si>
    <t>Республиканский онкоцентр и областные диспансеры, Akfa Medline (диагностика), Intermed; заменители — лечение в Казахстане/Турции/Индии. Место свободно из-за капиталоёмкости ускорителя и того, что до 01.07.2026 частник не имел бюджетного потока для его окупаемости.</t>
  </si>
  <si>
    <t>HealthCare Global Enterprises (HCG), Индия — крупнейшая частная сеть онкоцентров, IPO на NSE/BSE 2016, ~25 центров; контроль приобрёл CVC Capital (2020, ~$381 млн).</t>
  </si>
  <si>
    <t>С 01.07.2026 бюджетное финансирование частников по всем направлениям лицензии; 08.09.2026 — заход частных инвесторов в республиканские медцентры (можно войти в онкологию через ГЧП, а не с чистого листа).</t>
  </si>
  <si>
    <t>8-15 млн (ускоритель $3-4 млн + бункер + КТ-симулятор).</t>
  </si>
  <si>
    <t>Медлицензия по онкологии и радиотерапии, разрешение на работу с источниками ионизирующего излучения, обращение с цитостатиками, радиационный контроль.</t>
  </si>
  <si>
    <t>Кадры — медицинских физиков и радиотерапевтов в стране единицы; без 2-3 специалистов ускоритель простаивает при полной оплате лизинга.</t>
  </si>
  <si>
    <t>MED-04</t>
  </si>
  <si>
    <t>Реабилитация и постострый уход (rehab-стационар)</t>
  </si>
  <si>
    <t>Стационар восстановительного лечения на 60-100 коек после инсульта, травм и эндопротезирования, работающий на бюджетном тарифе за койко-день.</t>
  </si>
  <si>
    <t>Бюджет по направлению «медицинская реабилитация» + пациенты/семьи; часть — работодатели и страховщики по производственным травмам.</t>
  </si>
  <si>
    <t>Койко-день $40-80, средний курс 14-21 день = $700-1 600 на пациента; загрузка 80% на 80 койках даёт $1.2-2.5 млн/год (оценка).</t>
  </si>
  <si>
    <t>После инсульта или эндопротезирования пациента выписывают домой без реабилитации: семья теряет работающего члена на уход, а несделанная реабилитация превращает пациента в пожизненного инвалида — это дороже для семьи и для бюджета.</t>
  </si>
  <si>
    <t>Койка дешевле хирургической (нет операционных), доход даёт длительность курса; ядро — эрготерапия, кинезиотерапия, логопед, роботизированная механотерапия.</t>
  </si>
  <si>
    <t>Курс $700-1 600 против $5-10 тыс. за реабилитацию в Турции/Германии; для бюджета реабилитационная койка в 2-3 раза дешевле повторной госпитализации.</t>
  </si>
  <si>
    <t>Санатории системы профсоюзов и «Узбектуризм» (лечение ≠ реабилитация), Akfa Medline, Sog'lom Avlod; заменители — домашний уход силами семьи и поездка в Турцию. Место свободно, так как санаторный сектор построен под отдых, а не под протокольную постострую реабилитацию.</t>
  </si>
  <si>
    <t>American Heart of Poland (Polsko-Amerykańskie Kliniki Serca), Польша 1998-2008 — частная сеть, целиком выросшая на контрактах госфонда NFZ, позже продана фондам Advent/Innova; ровно модель «частный оператор на бюджетном тарифе».</t>
  </si>
  <si>
    <t>С 01.07.2026 частник получает бюджет по всем направлениям лицензии, включая реабилитацию; $200 млн льготных кредитов на новые клиники.</t>
  </si>
  <si>
    <t>2-4 млн.</t>
  </si>
  <si>
    <t>Медлицензия по реабилитации/физиотерапии, требования к стационару (ужесточены с 01.07.2026), пожарные и санитарные нормы.</t>
  </si>
  <si>
    <t>Бюджетный тариф на койко-день окажется санаторным (заниженным), и модель придётся переводить на платный сегмент с падением загрузки.</t>
  </si>
  <si>
    <t>MED-05</t>
  </si>
  <si>
    <t>Клиника ЭКО и репродуктивной медицины</t>
  </si>
  <si>
    <t>Специализированная клиника ЭКО с собственной эмбриологической лабораторией и криобанком, с квотами бюджета и потоком пациентов из соседних стран.</t>
  </si>
  <si>
    <t>Пациенты (основное), бюджет по квотам на ЭКО, отчасти — родственники из трудовой миграции.</t>
  </si>
  <si>
    <t>Цикл ЭКО $2-4 тыс.; 600-1 000 циклов/год на клинику даёт $1.5-3.5 млн выручки (оценка); допвыручка — криохранение, ИКСИ, ПГТ, донорские программы.</t>
  </si>
  <si>
    <t>Бесплодие в РУз — тяжёлая социальная проблема с прямым давлением на семью; пары годами ходят по «народным» методам и едут в Турцию/Иран за $4-8 тыс. плюс дорога.</t>
  </si>
  <si>
    <t>Узкий фокус: только репродукция, высокая пропускная способность эмбриолаборатории, прозрачная статистика результативности как маркетинговый актив, пакетные цены с рассрочкой.</t>
  </si>
  <si>
    <t>Цикл в 2 раза дешевле турецкого и без выезда; при квоте — частично или полностью за счёт бюджета.</t>
  </si>
  <si>
    <t>Отделения ЭКО в Akfa Medline, Intermed, Shifo и ряд ташкентских центров (med24.uz показывает конкурентный рынок услуг ЭКО в Ташкенте); заменители — Турция, Иран, Казахстан, народная медицина. Место свободно на уровне СЕТИ: игроки одиночные, бренда национального масштаба с публичной результативностью нет.</t>
  </si>
  <si>
    <t>Indira IVF, Индия — 115+ центров, контроль купил EQT в 2023 за ~$657 млн; выросли на массовой доступной цене цикла на низкодоходном рынке.</t>
  </si>
  <si>
    <t>С 01.07.2026 бюджет доступен по всем направлениям лицензии; входящий медтуризм из ЦА реален (1П2026: Таджикистан 19 тыс., Кыргызстан 9.5 тыс. пациентов), хотя общий поток УПАЛ на 13 тыс. г/г — рассчитывать надо на внутренний спрос.</t>
  </si>
  <si>
    <t>1-2 млн.</t>
  </si>
  <si>
    <t>Медлицензия по акушерству-гинекологии и ВРТ, требования к эмбриологической лаборатории и криобанку; этические/религиозные ограничения на донорство.</t>
  </si>
  <si>
    <t>Низкая результативность первых 100 циклов — в этой нише репутация формируется сарафанным радио и восстановлению не подлежит.</t>
  </si>
  <si>
    <t>MED-06</t>
  </si>
  <si>
    <t>Референс-лаборатория + франчайзинговая сеть пунктов забора</t>
  </si>
  <si>
    <t>Одна централизованная высокопроизводительная лаборатория плюс 100-300 франчайзинговых пунктов забора биоматериала в областях, связанных курьерской логистикой.</t>
  </si>
  <si>
    <t>Пациенты напрямую, клиники (аутсорс анализов), работодатели (медосмотры), бюджет по госзаказу на скрининги.</t>
  </si>
  <si>
    <t>Средний чек заказа $8-20; себестоимость теста падает вдвое при переходе от 300 к 3 000 проб/день; франчайзи получает 20-30% от чека.</t>
  </si>
  <si>
    <t>Клиники в областях держат убыточные мини-лаборатории с плохой воспроизводимостью; пациент из области либо сдаёт анализ сомнительного качества, либо едет в Ташкент.</t>
  </si>
  <si>
    <t>Централизуем «тяжёлые» тесты (иммунохимия, ПЦР, гормоны, онкомаркеры) в одной лаборатории с автоматизацией, а по стране раскатываем дешёвые пункты забора по франшизе.</t>
  </si>
  <si>
    <t>Клинике-партнёру аутсорс дешевле собственной лаборатории на 30-50% и снимает лицензионные требования к лабораторному блоку; пациент получает результат за 1 день.</t>
  </si>
  <si>
    <t>Intermed, Akfa Medline (лабораторные направления), сетевые лаборатории Ташкента и лаборатории при клиниках; заменители — мини-лаборатории внутри каждой клиники. Место свободно, потому что все существующие игроки строят лабораторию как ПРИДАТОК клиники, а не как самостоятельный логистический бизнес с франшизой.</t>
  </si>
  <si>
    <t>Dr Lal PathLabs, Индия — референс-лаборатория + ~4 500 пунктов сбора по франшизе, IPO 2015 на NSE/BSE; та же связка «центральная лаборатория + сеть точек». Казахстан — сеть «Invivo» построена по этой же схеме.</t>
  </si>
  <si>
    <t>С 01.07.2026 ужесточены 14 из 48 лицензионных требований к медорганизациям, и 468 госучреждений (55 до 01.04.2027, 413 до конца 2028) обязаны получить лицензию — для многих дешевле отдать лабораторию на аутсорс, чем дотягивать её до требований.</t>
  </si>
  <si>
    <t>2-4 млн (анализаторы, ЛИС, холодовая логистика).</t>
  </si>
  <si>
    <t>Лицензия на лабораторную деятельность, требования к ПЦР-боксам, внешняя оценка качества; при госзаказе — аккредитация.</t>
  </si>
  <si>
    <t>Франчайзи нарушают преаналитику (хранение и сроки доставки проб) — брак прилетает на бренд центральной лаборатории.</t>
  </si>
  <si>
    <t>MED-07</t>
  </si>
  <si>
    <t>Радиология как сервис в государственных больницах (КТ/МРТ, ГЧП)</t>
  </si>
  <si>
    <t>Ставим свои КТ/МРТ на площадях государственных больниц по концессии и зарабатываем на плате за исследование, а не на продаже оборудования.</t>
  </si>
  <si>
    <t>Бюджет/больница за исследование по тарифу + платные пациенты сверх квоты.</t>
  </si>
  <si>
    <t>Плата за исследование $20-60 (бюджет) и $40-120 (платно); один МРТ при 20-25 исследованиях в день даёт $400-800 тыс./год (оценка).</t>
  </si>
  <si>
    <t>У госбольниц нет денег на КТ/МРТ, а купленные простаивают из-за поломок и отсутствия сервисного контракта; пациент едет в частный центр или в областной центр.</t>
  </si>
  <si>
    <t>Мы вкладываем аппарат, инженера и рентгенлаборантов, больница даёт помещение и поток; делим выручку. Описание снимков — централизованно, телерадиологией, из одного центра.</t>
  </si>
  <si>
    <t>Больница получает КТ/МРТ с нулевыми капзатратами и гарантированный аптайм; бюджет платит только за фактические исследования.</t>
  </si>
  <si>
    <t>Akfa Medline, Intermed, Grand Medical и диагностические центры Ташкента — все работают в СВОИХ стенах; поставщики техники (Siemens, GE через локальных дилеров) продают железо, а не услугу. Место свободно, потому что механизм захода частника в госбольницу появился только сейчас.</t>
  </si>
  <si>
    <t>Krsnaa Diagnostics, Индия — построила бизнес именно на PPP-контрактах с правительствами штатов (радиология внутри госбольниц), IPO на NSE/BSE в августе 2021, 1 800+ точек; та же схема «наш аппарат в их стенах».</t>
  </si>
  <si>
    <t>08.09.2026 — частных инвесторов заводят в республиканские медцентры; плюс с 01.07.2026 бюджет оплачивает услуги частника по всем направлениям лицензии.</t>
  </si>
  <si>
    <t>3-6 млн на 3-5 площадок (МРТ ~$1-1.5 млн, КТ ~$0.4-0.8 млн).</t>
  </si>
  <si>
    <t>Медлицензия по лучевой диагностике, разрешения на источники излучения, договор ГЧП/концессии с медучреждением, санитарные требования к кабинету.</t>
  </si>
  <si>
    <t>Смена главврача или условий контракта — актив физически стоит на чужой территории и слабо защищён; нужна прямая договорная конструкция с ГЧП-агентством, а не устная с больницей.</t>
  </si>
  <si>
    <t>MED-08</t>
  </si>
  <si>
    <t>Фабрика лицензирования и аккредитации медорганизаций</t>
  </si>
  <si>
    <t>Продуктизированный сервис «клиника под лицензию и аккредитацию»: gap-аудит по 48 требованиям, документооборот, обучение персонала, сопровождение до выдачи.</t>
  </si>
  <si>
    <t>468 государственных медучреждений (55 республиканских до 01.04.2027, 413 региональных до конца 2028) и частные клиники, которым нужен договор с фондом медстрахования.</t>
  </si>
  <si>
    <t>Пакет $4-15 тыс. за объект в зависимости от коечности; подписка на поддержание соответствия $300-800/мес; подготовка к ISQua — $25-60 тыс.</t>
  </si>
  <si>
    <t>С 01.07.2026 пересмотрены 14 из 48 лицензионных требований, а госучреждения впервые в истории обязаны лицензироваться в жёсткий срок; у главврача нет ни методолога, ни времени, а срыв срока — это остановка деятельности.</t>
  </si>
  <si>
    <t>Один раз строим шаблонный комплект (положения, СОПы, журналы, матрица оснащения, программы обучения), дальше тиражируем его по объектам бригадами из 2-3 методологов.</t>
  </si>
  <si>
    <t>$4-15 тыс. и 2-3 месяца против срыва срока и приостановки; для частной клиники аккредитация — прямой доступ к бюджетным деньгам, то есть окупается первым же контрактом.</t>
  </si>
  <si>
    <t>Отдельные консультанты-одиночки из бывших сотрудников Минздрава и сам Центр лицензирования (он регулятор, а не помощник); заменители — «делаем сами силами замглавврача» и неформальные связи. Место свободно, потому что требования изменились три месяца назад и методической индустрии под них ещё нет.</t>
  </si>
  <si>
    <t>Саудовская Аравия — обязательная аккредитация всех больниц в CBAHI породила рынок подготовительного консалтинга; Joint Commission Resources (консультационная рука JCI) работает более чем в 100 странах именно на подготовке больниц к аккредитации. Индия — экосистема консультантов вокруг обязательной NABH-аккредитации для госстраховки.</t>
  </si>
  <si>
    <t>Новый «Центр лицензирования и аккредитации медорганизаций»; с 01.07.2026 ужесточены 14 из 48 требований; обязательное лицензирование 55 республиканских учреждений до 01.04.2027 и 413 региональных до конца 2028; для прямого договора с фондом медстрахования нужна аккредитация национального регулятора либо ISQua.</t>
  </si>
  <si>
    <t>Собственных лицензий не требует; критично — репутация и связка с реальной практикой инспекций Центра лицензирования.</t>
  </si>
  <si>
    <t>Сроки для госучреждений сдвинут (это происходит регулярно) — вал заказов растянется на годы и разрушит модель «разовый пик».</t>
  </si>
  <si>
    <t>MED-09</t>
  </si>
  <si>
    <t>Больничный аутсорсинг: централизованная стерилизация, прачечная, питание</t>
  </si>
  <si>
    <t>Внешний оператор непрофильных больничных процессов — ЦСО (стерилизация инструмента по контракту), медицинская прачечная и лечебное питание — для 8 700 частных клиник и госучреждений, которым это требование лицензии.</t>
  </si>
  <si>
    <t>Клиники и больницы по подписке/за единицу (за стерилизационную единицу, за кг белья, за койко-день питания).</t>
  </si>
  <si>
    <t>$0.5-2 за стерилизационную упаковку; $0.6-1.2 за кг белья; $2-4 за койко-день питания; контракт со средней клиникой $2-8 тыс./мес (оценка).</t>
  </si>
  <si>
    <t>Каждая маленькая клиника обязана иметь автоклав, валидированный цикл и обученного оператора — это $30-80 тыс. капзатрат и постоянная головная боль на проверках, ради загрузки в 10% от мощности; при новых требованиях с 01.07.2026 это становится узким местом лицензии.</t>
  </si>
  <si>
    <t>Один промышленный ЦСО на город с валидированными циклами, трекингом каждого набора (штрихкод/RFID), забором и доставкой 2 раза в день по замкнутому циклу «грязное/чистое».</t>
  </si>
  <si>
    <t>Клиника снимает капзатраты на автоклавную и валидацию, платит только за факт; при этом получает документированный протокол стерилизации, который принимает инспекция.</t>
  </si>
  <si>
    <t>Прямых операторов ЦСО-аутсорса в РУз не выявлено (не подтверждено); ближайшее — поставщики автоклавов и клининговые компании; заменители — свой автоклав в каждой клинике. Место свободно потому, что модель работает только при плотности клиник, а плотность сложилась буквально сейчас (3 200 → ~8 700).</t>
  </si>
  <si>
    <t>Synergy Health, Великобритания — аутсорсинг стерилизации хирургического инструмента для больниц NHS, куплена Steris в 2015 примерно за $1.9 млрд; Sodexo Healthcare (Индия, Турция) — аутсорс питания и хозслужб больниц.</t>
  </si>
  <si>
    <t>С 01.07.2026 пересмотрены 14 из 48 лицензионных требований к медорганизациям, а число частных клиник растёт с 3 200 (2016) до ~8 700 (конец 2026) — плотность мелких клиник в Ташкенте достаточна для маршрутного объезда.</t>
  </si>
  <si>
    <t>1.5-3 млн (промышленные автоклавы, мойки, транспорт, оборотный фонд контейнеров и наборов).</t>
  </si>
  <si>
    <t>Санитарно-эпидемиологические требования, валидация циклов стерилизации, договорное распределение ответственности за ВБИ.</t>
  </si>
  <si>
    <t>Одна вспышка внутрибольничной инфекции, связанная с нашей партией, закрывает бизнес — нужен жёсткий трекинг партий и страхование ответственности с первого дня.</t>
  </si>
  <si>
    <t>MED-10</t>
  </si>
  <si>
    <t>Инженерный сервис медтехники и метрологическое обеспечение</t>
  </si>
  <si>
    <t>Независимая сервисная компания, которая по подписке обслуживает, ремонтирует и поверяет парк медтехники клиник — от ИВЛ и наркозных до КТ и лабораторных анализаторов.</t>
  </si>
  <si>
    <t>Частные клиники, госбольницы, лаборатории, дистрибьюторы оборудования (сервис как их субподряд).</t>
  </si>
  <si>
    <t>Годовой сервисный контракт 5-10% от стоимости оборудования; для клиники с парком на $1 млн — $50-100 тыс./год; отдельно поверка и ППР по прейскуранту.</t>
  </si>
  <si>
    <t>Оборудование покупается по льготным условиям, а через 2 года гарантия кончается — дилер требует за визит инженера из-за рубежа тысячи долларов, аппарат стоит месяцами; при этом исправность и поверка теперь входят в лицензионные требования.</t>
  </si>
  <si>
    <t>Собственный штат биомедицинских инженеров + склад типовых запчастей + удалённая диагностика; подписка с SLA по времени восстановления и штрафом за простой.</t>
  </si>
  <si>
    <t>Простой аппарата стоит клинике выручки, а не только ремонта: КТ простаивает = минус $1.5-3 тыс./день; подписка $50-100 тыс./год дешевле разовых визитов дилеров.</t>
  </si>
  <si>
    <t>Сервисные подразделения дистрибьюторов оборудования и «инженер знакомый»; заменители — вызов специалиста из Казахстана/Турции, простой. Место свободно, потому что дистрибьюторы зарабатывают на продаже железа и относятся к сервису как к затратам.</t>
  </si>
  <si>
    <t>Agiliti Health, США — независимый сервис и управление парком медоборудования для больниц, выручка порядка $1.2 млрд, тысячи клиентов; Trivitron Healthcare (Индия) — сервисные контракты на парк госбольниц (масштаб — оценка). Механика (независимый сервис против сервиса производителя) переносима.</t>
  </si>
  <si>
    <t>Ужесточение 14 из 48 лицензионных требований с 01.07.2026 плюс парк, закупленный за последние годы под льготный импорт медтехники и $200 млн кредитной программы, массово выходит из гарантии.</t>
  </si>
  <si>
    <t>300-700 тыс. (склад запчастей, приборы, обучение инженеров).</t>
  </si>
  <si>
    <t>Аккредитация метрологической службы для поверки, допуски к работе с источниками излучения, авторизация производителей на запчасти (главный барьер).</t>
  </si>
  <si>
    <t>Производители не дают доступ к сервисным кодам и оригинальным запчастям — без 2-3 авторизаций от вендоров бизнес упирается в потолок «мелкий ремонт».</t>
  </si>
  <si>
    <t>MED-11</t>
  </si>
  <si>
    <t>Vendor-финансирование и лизинг медоборудования для частных клиник</t>
  </si>
  <si>
    <t>Специализированный лизинг/рассрочка медоборудования для частных клиник с оценкой заёмщика по выручке кабинета, а не по залогу недвижимости.</t>
  </si>
  <si>
    <t>Частные клиники и кабинеты (стоматология, УЗИ, эндоскопия, лаборатории), формально — лизингополучатели.</t>
  </si>
  <si>
    <t>Средний договор $30-200 тыс. на 3-5 лет; ставка на 6-10 п.п. выше стоимости фондирования; допдоход — страхование, сервисный пакет (связка с MED-10).</t>
  </si>
  <si>
    <t>У врача-предпринимателя нет залоговой недвижимости под банковский кредит, а депозитная ставка в сумах 19.7% делает банковское кредитование дорогим и медленным; в итоге кабинет открывается на б/у технике или не открывается вовсе.</t>
  </si>
  <si>
    <t>Оборудование остаётся в собственности лизингодателя (естественный залог), скоринг по выручке кабинета и потоку пациентов, платёж помесячный и привязан к загрузке; при дефолте аппарат изымается и передаётся следующему клиенту.</t>
  </si>
  <si>
    <t>Клиника стартует с $10-20 тыс. вместо $150 тыс.; лизингодатель получает доходность выше депозита при обеспечении ликвидным оборудованием.</t>
  </si>
  <si>
    <t>Универсальные лизинговые компании при банках (Uzbek Leasing и др.) и товарные кредиты дистрибьюторов; заменители — б/у техника, кредит под квартиру родственников. Место свободно, потому что универсальный лизинг не умеет оценивать медицинский денежный поток и требует обычного залога.</t>
  </si>
  <si>
    <t>Medical Credit Fund (PharmAccess, Африка — Кения, Нигерия, Танзания) — кредитование малых частных клиник под оборудование, тысячи выданных займов, портфель более $100 млн (масштаб — оценка); Arogya Finance, Индия — медицинское нишевое финансирование.</t>
  </si>
  <si>
    <t>$200 млн льготных кредитов на новые частные клиники (05.2026) + рост числа частных клиник 3 200 → ~8 700; льготы по импорту медтехники и возврат НДС (заявлены 11.2025) снижают стоимость предмета лизинга.</t>
  </si>
  <si>
    <t>3-10 млн (капиталоёмко, нужен доступ к фондированию).</t>
  </si>
  <si>
    <t>Лизинговая деятельность и отчётность перед ЦБ/Минфином, валютное регулирование при импорте предмета лизинга; возможна связка с исламским иджара (ЗРУ-1126).</t>
  </si>
  <si>
    <t>Массовые дефолты слабых новых клиник — при волне открытий (3 200 → 8 700) часть из них не переживёт второй год, и портфель наберёт просрочку раньше, чем выйдет на масштаб.</t>
  </si>
  <si>
    <t>MED-12</t>
  </si>
  <si>
    <t>Контрактное производство одноразовых медизделий и расходников</t>
  </si>
  <si>
    <t>Завод одноразовых расходников (шприцы, инфузионные системы, катетеры, контейнеры для проб) под гарантированные госзакупки и как CMO для дистрибьюторов под их торговыми марками.</t>
  </si>
  <si>
    <t>Государственные закупки для медучреждений, дистрибьюторы (private label), частные клиники и лаборатории, экспорт в ЦА и Афганистан.</t>
  </si>
  <si>
    <t>Копеечная единица при миллионных тиражах: линия шприцев на 100-150 млн шт/год даёт выручку $4-8 млн при валовой марже 20-30% (оценка).</t>
  </si>
  <si>
    <t>Расходники импортируются целиком; при этом их номенклатура — самое простое, что можно локализовать, а курсовые колебания и логистика делают импорт волатильным по цене и срокам.</t>
  </si>
  <si>
    <t>Литьё и сборка на автоматических линиях + стерилизация (этиленоксид или радиационная) + регистрация изделий; ставка на 3-5 позиций максимального объёма, а не на широкую линейку.</t>
  </si>
  <si>
    <t>Локальный производитель выигрывает 10-20% цены на логистике и получает преимущество в госзакупках при равной цене; медучреждение получает срок поставки 2 недели вместо 8-10.</t>
  </si>
  <si>
    <t>«Uzmedimpex» и дистрибьюторы-импортёры, отдельные локальные производители перевязки и шприцев (состав рынка — не подтверждено), турецкие и китайские поставщики; заменители — прямой импорт из Китая. Место свободно, потому что барьером был не рынок, а гарантия сбыта — и её дала система централизованных закупок.</t>
  </si>
  <si>
    <t>Hindustan Syringes &amp; Medical Devices (HMD), Индия — более 3 млрд шприцев в год, поставщик ЮНИСЕФ и экспорт в десятки стран; выросла на локализации простейших расходников для внутреннего рынка с последующим экспортом.</t>
  </si>
  <si>
    <t>ПП-408 от 29.11.2024 (в редакциях 26.12.2025 и 24.06.2026) — порядок и перечни централизованных закупок ЛС, изделий медназначения, реагентов и расходников для медучреждений; с 2022 действуют гарантированные госзакупки по локализуемой номенклатуре с 3-летними контрактами.</t>
  </si>
  <si>
    <t>4-8 млн (линии, чистые помещения, стерилизация).</t>
  </si>
  <si>
    <t>Регистрация медизделий в Госреестре (uzpharm-control.uz), ISO 13485, чистые помещения, валидация стерилизации; сертификаты соответствия.</t>
  </si>
  <si>
    <t>Проиграть по цене китайскому импорту при укреплении сума — локализация расходников держится на тарифной/закупочной преференции, а она может быть отменена.</t>
  </si>
  <si>
    <t>MED-13</t>
  </si>
  <si>
    <t>Региональный оператор обращения с медицинскими отходами</t>
  </si>
  <si>
    <t>Централизованный оператор сбора, обезвреживания (автоклавирование + измельчение) и утилизации опасных медотходов классов Б и В по подписке для клиник и больниц.</t>
  </si>
  <si>
    <t>Клиники, больницы, лаборатории, стоматологии, аптеки — по договору за кг/литр; крупнейшие плательщики — госучреждения, выходящие на лицензирование.</t>
  </si>
  <si>
    <t>$0.4-1.2 за кг опасных отходов; клиника средней величины — $200-1 500/мес; один участок на 3-5 тыс. т/год даёт выручку $1.5-4 млн (оценка).</t>
  </si>
  <si>
    <t>В РУз образуется ~85 тыс. т медотходов в год, из них ~27 тыс. т опасных, и по публикациям обращение с ними фактически не соответствует установленным процедурам — клиника рискует лицензией, а район получает шприцы на обычной свалке.</t>
  </si>
  <si>
    <t>Хаб с автоклавами (альтернатива сжиганию — без диоксинов и без разрешения на выбросы той же сложности) + маршрутные маркированные контейнеры + электронный паспорт партии, который клиника предъявляет инспектору.</t>
  </si>
  <si>
    <t>Клиника закрывает лицензионное требование за $200-1 500/мес вместо покупки своего утилизатора и найма ответственного; получает документ, принимаемый при проверке.</t>
  </si>
  <si>
    <t>Локальные подрядчики по вывозу ТБО и полулегальные схемы «вывезли и забыли», единичные инсинераторы при крупных больницах; заменители — сжигание на месте и сброс в ТБО. Место свободно, потому что спрос до сих пор был не обязательным, а обязательность приходит вместе с лицензированием 468 госучреждений и ужесточением требований к частникам.</t>
  </si>
  <si>
    <t>Ramky Enviro Engineers, Индия — оператор централизованных установок обезвреживания биомедотходов (CBWTF), обслуживает десятки тысяч медучреждений; KKR приобрёл около 60% в 2018 примерно за $530 млн. Модель «региональная монополия по подписке».</t>
  </si>
  <si>
    <t>Обязательное лицензирование 468 госучреждений (55 до 01.04.2027, 413 до конца 2028) и пересмотр 14 из 48 лицензионных требований с 01.07.2026 — обращение с отходами проверяется документально; действующий СанПиН № 0317-15 при признанном неисполнении на практике.</t>
  </si>
  <si>
    <t>1.5-3 млн на регион (автоклавы, шредеры, спецтранспорт, площадка с разрешениями).</t>
  </si>
  <si>
    <t>Разрешение на обращение с опасными отходами, экологическая экспертиза площадки, санэпид-требования к транспорту, СанПиН № 0317-15.</t>
  </si>
  <si>
    <t>Клиенты не готовы платить, пока за нарушение реально не штрафуют — бизнес критично зависит от правоприменения, а не от нормы на бумаге.</t>
  </si>
  <si>
    <t>MED-14</t>
  </si>
  <si>
    <t>Медицинские газы: кислородные станции при больницах по контракту</t>
  </si>
  <si>
    <t>Ставим собственные PSA-кислородные станции и разводку медгазов на территории больниц и продаём кислород по кубометрам вместо продажи баллонов.</t>
  </si>
  <si>
    <t>Больницы и клиники (контракт на объём/подписка), скорая помощь, кислород на дом для пациентов с ХОБЛ.</t>
  </si>
  <si>
    <t>Контракт «станция + сервис + гарантированный объём» — $3-15 тыс./мес с больницы; себестоимость произведённого на месте кислорода в разы ниже баллонного (оценка); отдельный поток — аренда концентраторов на дом $30-60/мес.</t>
  </si>
  <si>
    <t>Баллонная логистика — это грузовик, грузчики, пустая тара и риск остаться без кислорода в реанимации; при отключениях электроэнергии (июнь-июль 2026: ~4 000 аварий в сетях, местами отключения до 4 суток) больница без резервной подачи кислорода — это летальность.</t>
  </si>
  <si>
    <t>Модель «кислород как сервис»: наша станция, наш сервис, наш резервный криорезервуар и генератор, больница платит только за потреблённый объём с гарантией непрерывности.</t>
  </si>
  <si>
    <t>Больница уходит от капзатрат $150-400 тыс. на станцию, снимает баллонную логистику и получает контрактную гарантию бесперебойности; типовая экономия 30-50% против баллонов (оценка).</t>
  </si>
  <si>
    <t>Промышленные газовые компании и локальные наполнительные станции баллонов, дистрибьюторы медтехники; заменители — баллоны и концентраторы поштучно. Место свободно, потому что продавцы баллонов зарабатывают на литрах и не заинтересованы в станции на объекте.</t>
  </si>
  <si>
    <t>Hewatele, Кения — производство и доставка медицинского кислорода по модели hub-and-spoke с установками при больницах; привлекла порядка $20 млн инвестиций (2023, в т.ч. Soros Economic Development Fund) под масштабирование именно этой модели.</t>
  </si>
  <si>
    <t>Лицензирование 468 госучреждений (55 до 01.04.2027, 413 до конца 2028) требует подтверждённого оснащения, включая системы медгазов; плюс энергокризис (июнь-июль 2026, ~4 000 аварий) делает автономность подачи кислорода закупочным аргументом.</t>
  </si>
  <si>
    <t>2-5 млн на 5-10 объектов.</t>
  </si>
  <si>
    <t>Медицинский кислород регистрируется как лекарственное средство — требуются регистрация и требования к производству; промышленная безопасность, разрешения на сосуды под давлением, контроль качества газа по фармакопее.</t>
  </si>
  <si>
    <t>Кислород — это ЛС: регуляторный трек по регистрации и контролю качества длиннее и дороже, чем ожидают инженеры, и может съесть первый год.</t>
  </si>
  <si>
    <t>MED-15</t>
  </si>
  <si>
    <t>E-pharmacy и операционная франшиза для независимых аптек</t>
  </si>
  <si>
    <t>Платформа, которая подключает независимые аптеки как продавцов и пункты выдачи онлайн-заказов и одновременно даёт им закупку, ассортиментную аналитику и бренд.</t>
  </si>
  <si>
    <t>Аптеки (комиссия с заказа + подписка за платформу и закупочный доступ), фармпроизводители (промо и данные о продажах), пациенты (доставка).</t>
  </si>
  <si>
    <t>Комиссия 5-12% с онлайн-чека $6-15; подписка аптеки $50-150/мес; при 500 подключённых аптеках и 300 заказах/день на сеть — $2-5 млн GMV/год (оценка).</t>
  </si>
  <si>
    <t>Тысячи одиночных аптек закупаются дороже сетей на 10-20%, не видят своей оборачиваемости и проигрывают сетям OlamPharm, Oxy Med, Best Pharm и Grand Pharm; пациент же обзванивает аптеки, чтобы найти препарат.</t>
  </si>
  <si>
    <t>Не строим свои аптеки — оцифровываем чужие: остатки в реальном времени, бронирование и самовывоз, курьерская доставка безрецептурного, консолидированная закупка от имени пула.</t>
  </si>
  <si>
    <t>Аптека получает +10-25% трафика и лучшую закупочную цену за $50-150/мес; пациент находит препарат за минуту вместо обзвона; производитель впервые видит sell-out по стране.</t>
  </si>
  <si>
    <t>Поимённо: OlamPharm (Meros), Oxy Med (Asklepiy Group), Best Pharm и Grand Pharm (франшизные сети дистрибьютора), сервисы Liki.uz, apteka.uz, arzonapteka.uz, GoPharm, MyPharm, PharmaClick; дистрибьюторы — Nika Pharm, Jurabek Laboratories и др. как поставщики. Заменители — обзвон аптек и Telegram-каналы. Место свободно на слое B2B: существующие сервисы — витрины поиска, а операционную франшизу с закупкой независимым аптекам никто не даёт.</t>
  </si>
  <si>
    <t>SwipeRx (Индонезия/ЮВА) — B2B-платформа для независимых аптек (закупка, обучение, аналитика), сотни тысяч фармацевтов в сети, венчурные раунды под масштабирование; Chefaa (Египет) и Dawaai (Пакистан) — потребительский слой той же модели.</t>
  </si>
  <si>
    <t>Узбекистан готовит запуск онлайн-продажи ЛС через маркетплейсы с участием лицензированных аптечных организаций, где аптеки выступают продавцами и пунктами выдачи (профильная отраслевая публикация; точный НПА и дата — не подтверждено). Плюс исследование EY (январь 2026) фиксирует активное развитие онлайн-продаж и цифровых каналов дистрибуции как ключевой тренд 2026 года.</t>
  </si>
  <si>
    <t>1-3 млн.</t>
  </si>
  <si>
    <t>Аптечная деятельность лицензируется; дистанционная продажа ЛС — ключевой регуляторный вопрос (безрецептурные/рецептурные), контроль обращения ЛС, требования к хранению и температурному режиму при доставке.</t>
  </si>
  <si>
    <t>Регулятор разрешит онлайн-продажу только собственным аптечным сетям или ограничит перечень — тогда модель агрегатора независимых аптек теряет основание.</t>
  </si>
  <si>
    <t>MED-16</t>
  </si>
  <si>
    <t>CRO: центр биоэквивалентности и GCP-мониторинга</t>
  </si>
  <si>
    <t>Частная контрактная исследовательская организация с клиническим блоком на 24-48 коек и биоаналитической лабораторией (LC-MS/MS) для исследований биоэквивалентности дженериков и мониторинга клинических исследований.</t>
  </si>
  <si>
    <t>Локальные и импортные фармпроизводители (Nika Pharm, Jurabek Laboratories, Nobel и др.), заявители при регистрации дженериков, глобальные CRO как субподрядчику.</t>
  </si>
  <si>
    <t>Исследование биоэквивалентности $60-150 тыс. за препарат; 20-30 исследований в год = $1.5-4 млн выручки (оценка); мониторинг КИ — по визитам.</t>
  </si>
  <si>
    <t>Заявители по дженерикам вынуждены заказывать биоэквивалентность в Индии, Иордании, Грузии или Турции: это валюта, 8-14 месяцев ожидания и логистика биообразцов; при новом порядке КИ требования к качеству дизайна и документации выросли.</t>
  </si>
  <si>
    <t>Клинический блок при университетской клинике + собственная биоаналитика + сертифицированная система качества под GCP; продаём срок и цену, а не науку.</t>
  </si>
  <si>
    <t>Исследование внутри страны в сумах, на 30-50% дешевле индийского с учётом логистики, и на 3-5 месяцев быстрее по набору добровольцев.</t>
  </si>
  <si>
    <t>Государственный Центр развития клинических исследований в кластере Tashkent Farma Park (создан АРФО при Минздраве) — он же главный конкурент и потенциальный партнёр; зарубежные CRO (Lambda, JCPR) как заменители; собственные отделы производителей. Место свободно, потому что госцентр один и не покроет спрос всех заявителей, а частных игроков с валидированной биоаналитикой в РУз не выявлено (не подтверждено).</t>
  </si>
  <si>
    <t>Jordan Center for Pharmaceutical Research (JCPR), Иордания — независимый BE-центр, обслуживающий дженериковые компании из десятков стран; Lambda Therapeutic Research, Индия — выросла из локального BE-центра в международную CRO. Иордания — прямая аналогия: небольшая страна, построившая экспорт исследовательской услуги.</t>
  </si>
  <si>
    <t>Приказ Минздрава № 3745, зарегистрирован в Минюсте 06.01.2026, вступил в силу 26.02.2026 — новый порядок клинических исследований ЛС; отдельно утверждён порядок клинических исследований медизделий; создан государственный Центр развития клинических исследований в Tashkent Farma Park.</t>
  </si>
  <si>
    <t>2-4 млн (LC-MS/MS, клинический блок, система качества).</t>
  </si>
  <si>
    <t>Разрешение на проведение КИ по приказу № 3745, этический комитет, соответствие GCP и GLP, аккредитация биоаналитической лаборатории, страхование добровольцев.</t>
  </si>
  <si>
    <t>Результаты не признают зарубежные регуляторы, а внутри страны госцентр получит преференцию — тогда рынок сжимается до узкого сегмента локальных дженериков.</t>
  </si>
  <si>
    <t>MED-17</t>
  </si>
  <si>
    <t>Академия медсестёр и симуляционный центр под экспорт кадров</t>
  </si>
  <si>
    <t>Центр, который берёт узбекскую медсестру и за 10-14 месяцев доводит её до немецкого B1/B2, признания диплома и подписанного контракта в клинике ЕС или Залива, а тот же симуляционный парк догружает платными допусками для местных клиник.</t>
  </si>
  <si>
    <t>Принимающие клиники и рекрутинговые агентства ЕС (плата за размещение), сами кандидаты (частично, с рассрочкой из будущей зарплаты), местные клиники за симтренинги.</t>
  </si>
  <si>
    <t>Плата за успешное размещение 3 000-6 000 евро с работодателя (оценка) + курс с кандидата $600-1 500; 200-400 размещений в год = $1.2-3 млн; симцентр добавляет $150-400 тыс./год на местных клиниках и на подготовке к лицензированию.</t>
  </si>
  <si>
    <t>Медсестра в РУз получает кратно меньше, чем 2 200 евро в Германии; при этом путь туда — язык, признание диплома и контракт — она пройти сама не может, а посреднический рынок наполнен серыми агентствами. Одновременно 468 госучреждений и 8 700 частных клиник обязаны подтверждать квалификацию персонала при лицензировании.</t>
  </si>
  <si>
    <t>Полный конвейер: отбор → интенсив немецкого до B1/B2 → профессиональная лексика → пакет на признание диплома → интервью с клиникой → визовое сопровождение → адаптация; два потока выручки, чтобы симуляционное оборудование не простаивало между наборами.</t>
  </si>
  <si>
    <t>Кандидат меняет доход в разы, оплачивая 1-2 месячные зарплаты будущей работы; немецкая клиника получает готового сотрудника со сроком признания квалификации около года.</t>
  </si>
  <si>
    <t>Государственные программы Агентства внешней трудовой миграции, Ресурсный центр для мигрантов (открыт 08.2025), языковые школы и частные агентства; заменители — самостоятельный поиск и серые посредники. Место свободно, потому что почти никто не соединяет ЯЗЫК + ПРИЗНАНИЕ ДИПЛОМА + КОНТРАКТ в один продукт с гарантией результата.</t>
  </si>
  <si>
    <t>Программа «Triple Win» (GIZ, Германия) — организованный набор медсестёр из Филиппин, Индии, Туниса и Иордании для немецких клиник, тысячи трудоустроенных (точное число — оценка); Филиппины — страновой кейс, где экспорт медсестёр стал системной экспортной отраслью с частными академиями подготовки.</t>
  </si>
  <si>
    <t>В 2024 году 800+ узбекских медсестёр отправлены в Германию на зарплату от 2 200 евро; в июне 2026 Германия запустила программу привлечения медработников из Узбекистана; заявлен профицит медперсонала, что сокращает срок признания квалификации примерно до 1 года. Плюс государство компенсирует гражданам расходы на экзамены и открывает курсы подготовки к международным экзаменам в Андижане, Самарканде, Фергане и Ташкенте.</t>
  </si>
  <si>
    <t>400 тыс. - 1.2 млн (симуляционные манекены, кампус, преподаватели языка, юридическая функция по признанию дипломов).</t>
  </si>
  <si>
    <t>Лицензия на деятельность по трудоустройству граждан за рубежом, образовательная лицензия/аккредитация курсов, соглашения с принимающими клиниками, соответствие правилам этичного рекрутмента ВОЗ.</t>
  </si>
  <si>
    <t>Отток медсестёр может встретить политическое сопротивление внутри страны (дефицит кадров в клиниках) с ограничением экспорта или квотированием.</t>
  </si>
  <si>
    <t>MED-18</t>
  </si>
  <si>
    <t>Патронажный уход на дому и постгоспитальное сопровождение</t>
  </si>
  <si>
    <t>Сервис профессионального ухода на дому — перевязки, инъекции, уход за лежачими после инсульта и переломов, кислород и телеконсультации — по подписке, с сиделками и медсёстрами в штате.</t>
  </si>
  <si>
    <t>Семьи пациентов (в том числе дети, работающие за рубежом и оплачивающие уход за родителями), клиники после выписки, страховые ДМС, отчасти бюджет по патронажу.</t>
  </si>
  <si>
    <t>Визит медсестры $6-15; сиделка 12 часов $15-30; подписка «постинсультный уход» $150-400/мес; 300 активных клиентов = $0.7-1.4 млн/год (оценка).</t>
  </si>
  <si>
    <t>После выписки лежачий пациент остаётся на руках семьи: кто-то бросает работу либо нанимают неквалифицированную сиделку через знакомых; пролежни и повторная госпитализация обходятся дороже, чем весь уход. Для семей мигрантов это ещё и невозможность приехать.</t>
  </si>
  <si>
    <t>Стандартизованные протоколы ухода, обученные сиделки с сертификатом, супервизия медсестрой, приложение с отчётом для родственника за границей (фото, чек-лист, телеконсультация) и оплата из-за рубежа — этот отчёт и есть продукт для плательщика.</t>
  </si>
  <si>
    <t>Профессиональный уход $150-400/мес против потери зарплаты одного члена семьи и против повторной госпитализации; для клиники — снижение реадмиссий и допвыручка с выписанного пациента.</t>
  </si>
  <si>
    <t>Частные сиделки по объявлениям и через знакомых, патронажные службы поликлиник, отдельные ташкентские сервисы ухода (состав — не подтверждено); заменители — уход силами семьи. Место свободно, потому что бизнес требует не капитала, а системы обучения и контроля персонала, чего частные сиделки дать не могут, а поликлиники не мотивированы.</t>
  </si>
  <si>
    <t>Portea Medical, Индия — крупнейший провайдер медицинского ухода на дому, привлекла порядка $86 млн, обслужила сотни тысяч пациентов; выросла именно на связке «выписка из стационара → уход дома» на рынке с сильной семейной культурой ухода.</t>
  </si>
  <si>
    <t>С 01.07.2026 частные медорганизации получают бюджетное финансирование по всем направлениям своей лицензии, включая патронаж и сестринский уход; плюс ~1.4 млн граждан работают за рубежом (~60% в РФ) — это готовый платёжеспособный плательщик за уход за родителями, переводящий деньги домой.</t>
  </si>
  <si>
    <t>250-600 тыс.</t>
  </si>
  <si>
    <t>Медлицензия по сестринскому делу/первичной помощи для медицинских манипуляций (инъекции, перевязки), требования к обороту наркотических анальгетиков при паллиативном направлении, трудовое оформление персонала.</t>
  </si>
  <si>
    <t>Текучесть и «увод» клиентов персоналом напрямую мимо компании — это главный убийца юнит-экономики в уходе на дому; решается только ценой контракта и контролем визитов.</t>
  </si>
  <si>
    <t>CON-01</t>
  </si>
  <si>
    <t>Мультибрендовый постгарантийный автосервис под китайские авто</t>
  </si>
  <si>
    <t>Услуги населению (авто)</t>
  </si>
  <si>
    <t>Сеть станций с фиксированным прайсом и гарантией на работы, специализированная на массово ввезённых китайских ДВС/гибридах/EV, у которых кончается дилерская гарантия.</t>
  </si>
  <si>
    <t>Владелец автомобиля 3-7 лет; далее — таксопарки и корпоративные автопарки.</t>
  </si>
  <si>
    <t>Нормо-час + запчасти, средний чек $60-120 за визит (оценка); подписка на ТО $150-250/год (оценка).</t>
  </si>
  <si>
    <t>Дилерский сервис дорог и загружен, гаражный — без гарантии и без диагностики EV/гибрида; простой авто = потерянный доход для таксиста.</t>
  </si>
  <si>
    <t>3-5 станций формата «быстрый сервис» + свой склад расходников + обучение мастеров под конкретные платформы + IT-запись и электронная сервисная книжка.</t>
  </si>
  <si>
    <t>Ремонт на 25-40% дешевле дилера при письменной гарантии 6 мес (оценка); срок ремонта 1 день вместо 3-7.</t>
  </si>
  <si>
    <t>ближайшие игроки: дилерские сервисы BYD/Chevrolet (UzAuto Motors), сети Enter Garage / DAKO-подобные франшизы, тысячи гаражных СТО | заменители: гараж «у знакомого мастера», самостоятельный ремонт | почему свободно: парк китайских авто ввезён недавно и массово, компетенция по высоковольтным системам не успела распределиться по независимому сектору; сетевых независимых игроков с гарантией практически нет (не подтверждено поимённо).</t>
  </si>
  <si>
    <t>Bosch Car Service — Германия/глобально, франшизная сеть независимых СТО, ~15 000 станций в 150 странах; в Турции и Казахстане модель работает поверх «серого» гаражного рынка.</t>
  </si>
  <si>
    <t>Массовая смена парка на китайские бренды и выход первых волн из гарантии; каталоги франшиз автоуслуг активно продаются в Ташкенте (topfranchise.ru, 2026) — сигнал, что организованного предложения ещё нет.</t>
  </si>
  <si>
    <t>250-600 тыс. на 2-3 станции.</t>
  </si>
  <si>
    <t>Спецлицензия не требуется (оценка); нужны экологические и пожарные согласования, работа с высоковольтом — допуски по электробезопасности.</t>
  </si>
  <si>
    <t>Дилеры сами запускают дешёвый постгарантийный формат и закрывают нишу поставкой оригинальных запчастей.</t>
  </si>
  <si>
    <t>CON-02</t>
  </si>
  <si>
    <t>Бытовые услуги по подписке для новостроек (клининг, мелкий ремонт, сантехника)</t>
  </si>
  <si>
    <t>Услуги населению (быт)</t>
  </si>
  <si>
    <t>Приложение + собственная бригада, продающие домохозяйствам в новых ЖК месячную подписку на уборку и мелкий ремонт с гарантией качества и проверенными исполнителями.</t>
  </si>
  <si>
    <t>Семьи среднего класса в новостройках Ташкента; вторично — управляющие компании ЖК и арендодатели.</t>
  </si>
  <si>
    <t>Подписка $35-90/мес (оценка) + разовые заказы; комиссия 25-30% при работе с внешними мастерами.</t>
  </si>
  <si>
    <t>Найм уборщицы/мастера — через сарафанное радио, без гарантий, без замены при неявке; для арендодателя срыв уборки = простой квартиры.</t>
  </si>
  <si>
    <t>Штат + верификация (паспорт, обучение, форма), фиксированный прайс, страховка ущерба, приложение с расписанием и рейтингом.</t>
  </si>
  <si>
    <t>Цена на уровне рынка «частников», но с заменой исполнителя за 2 часа и компенсацией ущерба; для клиента экономия 3-5 часов в неделю.</t>
  </si>
  <si>
    <t>ближайшие игроки: DAKO (коммерческий клининг, Ташкент), локальные Telegram-каналы мастеров, Uzum-подобные сервисные разделы | заменители: родственники, «мастер из чата дома» | почему свободно: рынок B2C-услуг остаётся неформальным, сетевого бренда с гарантией нет; глобальным игрокам рынок мал.</t>
  </si>
  <si>
    <t>Justlife (ex-Justmop) — ОАЭ/Саудовская Аравия, home services по подписке, Series B ~$30 млн (2022), сотни тысяч домохозяйств.</t>
  </si>
  <si>
    <t>За 7 мес 2026 введено 705 новых объектов размещения и продолжается массовый ввод жилья под ипотечные субсидии 2.7 трлн сум (2026) — концентрированный поток новых квартир в новых ЖК, где нет сложившихся бытовых связей.</t>
  </si>
  <si>
    <t>Общий режим; важен корректный трудовой договор/самозанятость и налог 1% для ИП с оборотом &lt;1 млрд сум (с 01.01.2026).</t>
  </si>
  <si>
    <t>Утечка клиентов «мимо кассы» — исполнитель договаривается напрямую.</t>
  </si>
  <si>
    <t>CON-03</t>
  </si>
  <si>
    <t>Сеть прачечных самообслуживания + B2B-стирка для HoReCa и клиник</t>
  </si>
  <si>
    <t>Услуги населению (быт/B2B)</t>
  </si>
  <si>
    <t>Промышленная прачечная, обслуживающая гостиницы, кафе и клиники по контракту, плюс франчайзинговая сеть точек самообслуживания в жилых районах.</t>
  </si>
  <si>
    <t>Отели и гостевые дома, клиники, рестораны; население — за стирку/химчистку.</t>
  </si>
  <si>
    <t>B2B — за кг ($0.5-0.9/кг, оценка), контракт $1.5-8 тыс./мес на отель (оценка); B2C — $3-6 за загрузку.</t>
  </si>
  <si>
    <t>У 7 440 средств размещения (202.6 тыс. мест) собственная прачечная = замороженный капитал, персонал и брак; у мелких гостевых домов её просто нет.</t>
  </si>
  <si>
    <t>Один индустриальный цех (туннельная линия) + маршрутная логистика + RFID-учёт белья; франшизные точки самообслуживания добирают загрузку днём.</t>
  </si>
  <si>
    <t>Себестоимость кг на 30-50% ниже внутренней прачечной отеля (оценка) при гарантированном обороте белья за 24 ч.</t>
  </si>
  <si>
    <t>ближайшие игроки: внутренние прачечные крупных отелей, мелкие химчистки Ташкента | заменители: стирка «на месте», ручной труд | почему свободно: индустриальный формат требует капитала и маршрутизации, отельный сектор вырос быстрее сервисной инфраструктуры.</t>
  </si>
  <si>
    <t>UClean — Индия, франшиза прачечных/химчисток, 500+ точек в 100+ городах, привлекла венчурные раунды и стала крупнейшей сетью в сегменте.</t>
  </si>
  <si>
    <t>За 7 мес 2026 создано 705 новых объектов размещения на 22 296 мест; всего 7 440 объектов, 202.6 тыс. мест (Госкомстат/Комтуризма, 07.2026) — новый поток мелких отелей без собственных прачечных.</t>
  </si>
  <si>
    <t>400 тыс. - 1.2 млн (цех + автопарк).</t>
  </si>
  <si>
    <t>Санитарные требования, разрешение на сброс сточных вод; для медицинского белья — отдельный режим дезинфекции.</t>
  </si>
  <si>
    <t>Энергокризис — 4 000 аварий в сетях за июнь-июль 2026 и отключения до 4 суток убивают цикл стирки; нужен резерв мощности.</t>
  </si>
  <si>
    <t>EDU-01</t>
  </si>
  <si>
    <t>Оператор франшиз западных вузов «под ключ» (pathway/validation-партнёр)</t>
  </si>
  <si>
    <t>Образование</t>
  </si>
  <si>
    <t>Компания, которая строит и управляет кампусом в РУз, а диплом выдаёт западный университет-партнёр по франшизе, при этом часть роялти компенсирует государство.</t>
  </si>
  <si>
    <t>Студент/родитель (обучение), государство (частичная компенсация роялти), корпоративные спонсоры.</t>
  </si>
  <si>
    <t>Плата за обучение $3-6 тыс./год (оценка), маржа оператора после роялти 20-30% (оценка); при 1 500 студентах выручка $6-9 млн/год.</t>
  </si>
  <si>
    <t>Семьи платят $15-30 тыс./год за учёбу за рубежом (оценка) и теряют валюту; западных филиалов почти нет — больше половины из ~30 иностранных филиалов это вузы СНГ.</t>
  </si>
  <si>
    <t>Стандартный набор pathway-оператора: кампус в аренду, лицензия программы, найм и сертификация преподавателей партнёром, foundation-год с английским, трансфер части студентов на кампус партнёра.</t>
  </si>
  <si>
    <t>Диплом того же западного вуза за 20-30% стоимости обучения за границей; для партнёра — рынок без капзатрат.</t>
  </si>
  <si>
    <t>ближайшие игроки: Westminster International University in Tashkent, Amity, MDIS, филиалы МГУ/РЭУ/МИСиС, ТАСИ с проектом Высшей школы интегрированных программ | заменители: отъезд на учёбу в Корею/Турцию/Россию | почему свободно: западным вузам самим неинтересно строить кампус, им нужен локальный оператор; компенсация роялти появилась только в 07.2026.</t>
  </si>
  <si>
    <t>Navitas — Австралия, оператор pathway-кампусов при университетах в 6 странах; куплена BGH Capital в 2019 примерно за AUD 2.1 млрд.</t>
  </si>
  <si>
    <t>ПП-269 от 17.07.2026 «О дополнительных мерах по внедрению программ ССПО и высшего образования на основе международных образовательных стандартов» (lex.uz/ru/docs/8338162): упрощение лицензирования, налоговые льготы, ЧАСТИЧНАЯ КОМПЕНСАЦИЯ РОЯЛТИ; интегрированные программы вводятся с 2027/2028 уч. года.</t>
  </si>
  <si>
    <t>3-8 млн (кампус в аренду, лицензия, первый набор).</t>
  </si>
  <si>
    <t>Лицензия образовательной организации, аккредитация программы, договор франшизы/валидации с зарубежным вузом, порядок компенсации роялти по ПП-269.</t>
  </si>
  <si>
    <t>Длинный цикл: первый выпуск через 4 года, а условия компенсации роялти могут измениться раньше.</t>
  </si>
  <si>
    <t>EDU-02</t>
  </si>
  <si>
    <t>Колледж рабочих профессий под экспорт кадров (Ausbildung/Корея/Япония)</t>
  </si>
  <si>
    <t>Частный ССПО-колледж, который готовит сварщиков, электриков, медсестёр и строителей по немецко-корейско-японским стандартам вместе с языком и сразу под контракт зарубежного работодателя.</t>
  </si>
  <si>
    <t>Зарубежный работодатель (плата за подготовленного кандидата), частично студент, частично госпрограммы подготовки.</t>
  </si>
  <si>
    <t>$1.5-4 тыс. за трудоустроенного кандидата от работодателя (оценка) + $500-1200 за курс со студента (оценка); поток 1 000-2 000 чел./год.</t>
  </si>
  <si>
    <t>Германии нужно 40 тыс. медсестёр, Японии — 15 тыс. работников в стройке, логистике и сервисе; узбекский кандидат не проходит по языку и подтверждению квалификации.</t>
  </si>
  <si>
    <t>Модульная программа: профессия по стандарту страны-получателя + язык до B1/N4 + подготовка документов и признание квалификации + партнёрство с лицензированным частным агентством занятости.</t>
  </si>
  <si>
    <t>Для работодателя стоимость подбора ниже, чем через европейские агентства (оценка), с готовностью к работе с первого дня; для выпускника зарплата 1200-1600 евро (Словакия, VW) против российских ставок.</t>
  </si>
  <si>
    <t>ближайшие игроки: Ресурсный центр для мигрантов (Ташкент, с 08.2025), учебные курсы, организованные компаниями Германии/Японии/Кореи, госагентство внешней трудовой миграции | заменители: самостоятельный выезд, нелегальные посредники | почему свободно: с 01.01.2026 организованный набор передан ЧАСТНЫМ агентствам занятости — рынок только что создан регуляторно.</t>
  </si>
  <si>
    <t>TeamLease Services — Индия, публичная компания (NSE), подготовка и трудоустройство массовых кадров, выручка порядка $1.2 млрд; модель «обучение под контракт работодателя».</t>
  </si>
  <si>
    <t>С 01.01.2026 набор граждан для работы за рубежом передан частным агентствам занятости; заявки на 100 тыс. работников от других стран (Gazeta.uz, 21.04.2026); 48 соглашений с 23 государствами; въезд в РФ -13.2% г/г в 1П2026.</t>
  </si>
  <si>
    <t>500 тыс. - 1.5 млн.</t>
  </si>
  <si>
    <t>Лицензия образовательной организации ССПО; лицензия частного агентства занятости на организованный набор; аккредитация программ страной-получателем.</t>
  </si>
  <si>
    <t>Отток лучших выпускников напрямую к работодателю без оплаты комиссии.</t>
  </si>
  <si>
    <t>EDU-03</t>
  </si>
  <si>
    <t>Сеть двуязычных K-12 школ по кембриджской программе (asset-light)</t>
  </si>
  <si>
    <t>Сеть частных школ среднего ценового сегмента с британской программой (Cambridge/Pearson) и обучением на английском и узбекском, в арендованных или управляемых по контракту зданиях.</t>
  </si>
  <si>
    <t>Родители из верхнего среднего класса; владельцы зданий получают долю по управляющему контракту.</t>
  </si>
  <si>
    <t>Обучение $2-4.5 тыс./год (оценка); школа на 600 учеников — выручка $1.5-2.5 млн/год, EBITDA 20-30% (оценка).</t>
  </si>
  <si>
    <t>Родители, готовые платить, стоят в очереди в 3-5 школ Ташкента; при этом качественная альтернатива за $2-4 тыс. отсутствует — рынок распадается на дешёвые частные и очень дорогие международные.</t>
  </si>
  <si>
    <t>Asset-light: не покупаем здания, а берём в долгую аренду или в управление у собственника; централизуем программу, найм, обучение учителей и закупку; масштабируем по 2-3 школы в год.</t>
  </si>
  <si>
    <t>Международный аттестат за 20-30% стоимости премиальной международной школы; для собственника здания — доход выше арендного при том же активе.</t>
  </si>
  <si>
    <t>ближайшие игроки: British School of Tashkent, Cambridge International School Tashkent, Tashkent International School, сотни мелких частных школ | заменители: сильные госшколы-президентские/специализированные, репетиторы, отъезд семьи | почему свободно: премиальные международные школы стоят $10-20 тыс./год и не масштабируются, а массовые частные не имеют международной программы.</t>
  </si>
  <si>
    <t>Lighthouse Learning (EuroKids/Billabong High) — Индия, KKR выкупил контроль, 1 000+ центров и школ; модель средне-ценовой сети K-12 в развивающейся стране доказана.</t>
  </si>
  <si>
    <t>ПП-269 от 17.07.2026 (упрощение лицензирования, налоговые льготы, таможенные преференции для программ по международным стандартам) плюс рост числа вузов 77 → 211, что тянет спрос на подготовку к ним снизу.</t>
  </si>
  <si>
    <t>1.5-4 млн на первую школу (оснащение + оборотный капитал первого года).</t>
  </si>
  <si>
    <t>Лицензия негосударственной образовательной организации; аккредитация Cambridge International; санитарные и пожарные нормы для детских учреждений.</t>
  </si>
  <si>
    <t>Кадры — нехватка учителей, способных вести предмет на английском; фонд оплаты труда растёт быстрее платы за обучение.</t>
  </si>
  <si>
    <t>TUR-01</t>
  </si>
  <si>
    <t>White-label управляющая компания для малых отелей и гостевых домов</t>
  </si>
  <si>
    <t>Туризм</t>
  </si>
  <si>
    <t>Управление малыми отелями под единым брендом и стандартом с централизованными продажами, revenue-менеджментом и подключением к OTA, за долю от выручки.</t>
  </si>
  <si>
    <t>Собственники малых отелей и гостевых домов (3-40 номеров).</t>
  </si>
  <si>
    <t>8-15% от выручки объекта + fee за подключение $2-5 тыс. (оценка); при 60 объектах — управляемая выручка $20-40 млн/год (оценка).</t>
  </si>
  <si>
    <t>Из 7 440 объектов размещения большинство мелкие и продают номера через WhatsApp; загрузка низкая, цена ставится «на глаз», а иностранцу их не найти в Booking.</t>
  </si>
  <si>
    <t>Пакет: бренд и стандарт, канал-менеджер и динамическое ценообразование, обучение персонала, закупка, единая касса и отчётность; собственник сохраняет актив.</t>
  </si>
  <si>
    <t>Рост загрузки и RevPAR на 20-40% (оценка) при отсутствии капзатрат у собственника; окупаемость fee — с первого сезона.</t>
  </si>
  <si>
    <t>ближайшие игроки: локальные сети отелей, OTA-агрегаторы, отдельные операторы гостевых домов в Бухаре/Хиве | заменители: собственник управляет сам, сдаёт в аренду целиком | почему свободно: сегмент фрагментирован, международные бренды заходят только в 4-5 звёзд, а формат управляющей компании для 10-номерных объектов в РУз не сложился (не подтверждено поимённо).</t>
  </si>
  <si>
    <t>RedDoorz — Индонезия/ЮВА, брендирование и управление бюджетными отелями, 3 500+ объектов, привлечено более $140 млн; та же механика у OYO (Индия).</t>
  </si>
  <si>
    <t>Янв-авг 2026 — 9.1 млн иностранных туристов (+21.1% г/г), экспорт туруслуг $4.6 млрд (+53.5% г/г); за 7 мес 2026 создано 705 новых объектов размещения на 22 296 мест — приток неопытных собственников.</t>
  </si>
  <si>
    <t>Уведомительный порядок для средств размещения, категоризация объектов, регистрация иностранцев; договор управления, не аренда.</t>
  </si>
  <si>
    <t>Собственник разрывает контракт, освоив продажи через OTA сам.</t>
  </si>
  <si>
    <t>TUR-02</t>
  </si>
  <si>
    <t>Оператор медицинского туризма (стоматология, офтальмология, чек-ап)</t>
  </si>
  <si>
    <t>Туризм / медицина</t>
  </si>
  <si>
    <t>Пакетный оператор, который привозит пациентов из Казахстана, России и Афганистана на плановые процедуры в отобранные частные клиники РУз, беря на себя маршрут, перевод, проживание и гарантию.</t>
  </si>
  <si>
    <t>Пациент-иностранец; клиника платит комиссию за приведённого пациента.</t>
  </si>
  <si>
    <t>Комиссия 15-25% от чека клиники + маржа на пакете; средний чек пакета $800-3 500 (оценка).</t>
  </si>
  <si>
    <t>Плановая стоматология и офтальмология в РФ/Казахстане дороже в 1.5-3 раза (оценка), а в Афганистане такой медицины почти нет; пациент боится ехать сам — язык, качество, отсутствие гарантии.</t>
  </si>
  <si>
    <t>Отбор и аудит клиник-партнёров, фиксированный прайс, координатор, трансфер и гостиница, послеоперационное сопровождение по видео, гарантийный фонд на переделку.</t>
  </si>
  <si>
    <t>Стоимость лечения с перелётом и отелем ниже, чем лечение дома, на 30-50% (оценка); пациент получает единый договор и одно ответственное лицо.</t>
  </si>
  <si>
    <t>ближайшие игроки: отдельные клиники, самостоятельно ловящие иностранцев, медтур-посредники в Telegram, турагентства | заменители: поездка в Турцию/Иран/Индию, лечение дома | почему свободно: рынок посреднический и неформальный, никто не даёт гарантию качества и не аудитирует клиники.</t>
  </si>
  <si>
    <t>Acıbadem Healthcare Group — Турция; страна принимает более 1 млн медицинских туристов в год с оборотом порядка $2 млрд, модель «клиника + оператор + пакет» полностью отработана.</t>
  </si>
  <si>
    <t>Число частных клиник 3 200 (2016) → ожидается 8 700 к концу 2026; $200 млн льготных кредитов на новые частные клиники; с 01.07.2026 ужесточено лицензирование (пересмотрены 14 из 48 требований) — появляется проверяемый критерий качества для отбора партнёров.</t>
  </si>
  <si>
    <t>150-400 тыс.</t>
  </si>
  <si>
    <t>Турагентская деятельность; медицинскую услугу оказывает лицензированная клиника-партнёр (Центр лицензирования и аккредитации медорганизаций); нужен договор о разграничении ответственности.</t>
  </si>
  <si>
    <t>Один тяжёлый медицинский инцидент разрушает репутацию канала целиком.</t>
  </si>
  <si>
    <t>REA-01</t>
  </si>
  <si>
    <t>Технадзор и строительный контроль в интересах банка (bank monitoring engineer)</t>
  </si>
  <si>
    <t>Недвижимость и стройка</t>
  </si>
  <si>
    <t>Независимая инженерная компания, которая по заказу банка подтверждает фактический объём выполненных работ и целевое расходование средств проектного финансирования, открывая транши застройщику.</t>
  </si>
  <si>
    <t>Уполномоченный банк (в конечном счёте расходы включаются в стоимость кредита застройщику).</t>
  </si>
  <si>
    <t>Абонплата за объект $2.5-8 тыс./мес (оценка) + разовый аудит стартовых условий $10-25 тыс. (оценка); 20 объектов = $0.8-1.6 млн/год.</t>
  </si>
  <si>
    <t>С введением эскроу банк, а не дольщик, несёт риск недостроя, но у банков нет инженерного аппарата, чтобы проверять стройплощадку каждый месяц.</t>
  </si>
  <si>
    <t>Ежемесячный выезд, фотофиксация с геометками, обмер объёмов, сверка с графиком и сметой, заключение для кредитного комитета; далее — API/платформа для банка.</t>
  </si>
  <si>
    <t>Для банка стоимость надзора порядка 0.1-0.3% от бюджета проекта против риска потери всего лимита; для застройщика — предсказуемое раскрытие траншей.</t>
  </si>
  <si>
    <t>ближайшие игроки: государственная экспертиза (Госархитектстрой), проектные институты, отдельные инженеры-фрилансеры, международные Turner &amp; Townsend / Currie &amp; Brown (в РУз присутствие ограничено, не подтверждено) | заменители: банк верит акту застройщика | почему свободно: правило эскроу вступило только с 01.01.2026, отрасли банковского технадзора в стране просто не существовало.</t>
  </si>
  <si>
    <t>Turner &amp; Townsend — Великобритания/глобально, cost management и bank monitoring, выручка более £1 млрд; в России после 214-ФЗ (2019) банковский технадзор вырос в отдельную отрасль вокруг проектного финансирования Сбера/ДОМ.РФ.</t>
  </si>
  <si>
    <t>С 01.01.2026 платежи дольщиков идут ТОЛЬКО через эскроу в уполномоченных банках; создана Республиканская комиссия по долевому строительству, эскроу-счетам и проектному финансированию во главе с вице-премьером Дж. Кучкаровым; ЦБ и Минюсту поручено в 3-месячный срок утвердить перечень банков-участников проектного финансирования.</t>
  </si>
  <si>
    <t>100-300 тыс. (инженерный штат, приборы, ПО).</t>
  </si>
  <si>
    <t>Аттестация специалистов технадзора, членство/аккредитация по правилам Госархитектстроя; независимость от застройщика — ключевое требование банка.</t>
  </si>
  <si>
    <t>Банки создают собственные внутренние службы технадзора и закрывают рынок.</t>
  </si>
  <si>
    <t>REA-02</t>
  </si>
  <si>
    <t>Брокер проектного финансирования для застройщиков + подготовка к эскроу</t>
  </si>
  <si>
    <t>Бутик, который упаковывает застройщика под требования уполномоченного банка — финмодель, смета, юрструктура, поэтапный график раскрытия — и организует кредитную линию под эскроу.</t>
  </si>
  <si>
    <t>Застройщик (успех-фи), частично банк за подготовленную сделку.</t>
  </si>
  <si>
    <t>Retainer $8-20 тыс. + success fee 0.7-1.5% от объёма кредитной линии (оценка); одна сделка $50-300 тыс.</t>
  </si>
  <si>
    <t>Средний застройщик РУз финансировался деньгами дольщиков бесплатно, у него нет ни отчётности, ни финмодели, ни залоговой структуры для банка — и без них стройка встаёт.</t>
  </si>
  <si>
    <t>Диагностика, приведение отчётности и смет к банковскому формату, стресс-модель продаж и наполнения эскроу, выбор банка из утверждённого перечня, сопровождение до первого транша.</t>
  </si>
  <si>
    <t>Доступ к линии, без которой проект вообще не стартует; экономия 1.5-3 п.п. ставки за счёт конкуренции банков (оценка).</t>
  </si>
  <si>
    <t>ближайшие игроки: инвестбанковские подразделения крупных банков, аудиторы Big-4 в Ташкенте, юрфирмы | заменители: застройщик идёт в «свой» банк на его условиях, продаёт долю в проекте | почему свободно: правило новое, а спрос концентрированный и срочный — переходный период короткий.</t>
  </si>
  <si>
    <t>Built Technologies — США, платформа управления строительным кредитованием, оценка ~$1.5 млрд, раунд $125 млн (2021); в РФ ту же роль после 214-ФЗ заняли консультанты по проектному финансированию при ДОМ.РФ.</t>
  </si>
  <si>
    <t>Эскроу обязателен для новых проектов долевого строительства с 01.01.2026, ранее начатых проектов не касается; Минюст официально предупреждает, что застройщики теряют бесплатное финансирование дольщиками и переходят на банковское — то есть спрос гарантирован документом.</t>
  </si>
  <si>
    <t>60-150 тыс.</t>
  </si>
  <si>
    <t>Консалтинг лицензии не требует; при работе с ценными бумагами/облигационным финансированием — режим НАПП.</t>
  </si>
  <si>
    <t>Плата за результат: если банк отказал, работа не оплачивается; концентрация на 3-5 уполномоченных банках снижает переговорную позицию.</t>
  </si>
  <si>
    <t>REA-03</t>
  </si>
  <si>
    <t>«Фабрика оценки»: независимая оценка залогов и проверка смет</t>
  </si>
  <si>
    <t>Поточная оценочная компания с единой методологией и IT-конвейером, обслуживающая банки по ипотеке, залогам и проверке строительных смет.</t>
  </si>
  <si>
    <t>Банки (по договору аутсорса) и заёмщики (оценка объекта для ипотеки).</t>
  </si>
  <si>
    <t>$40-90 за отчёт по квартире (оценка), $600-3 000 за коммерческий объект или проверку сметы; при 2 000 отчётов/мес — $1-2 млн/год.</t>
  </si>
  <si>
    <t>Массовая льготная ипотека требует оценки каждого объекта; у банков нет мощностей, а качество независимых оценщиков плавает, что бьёт по резервам и по надзору.</t>
  </si>
  <si>
    <t>Конвейер: мобильное приложение осмотра, база сделок и предложений, автоматизированная модель (AVM) + подпись аттестованного оценщика, SLA 24 часа, единый формат отчёта под требования банка.</t>
  </si>
  <si>
    <t>Срок отчёта 1 день вместо 3-5, цена ниже на 20-30% за счёт объёма (оценка), унифицированный формат снижает споры с надзором.</t>
  </si>
  <si>
    <t>ближайшие игроки: сотни мелких оценочных фирм, оценочные подразделения банков, Kapital Baholash-подобные локальные компании (не подтверждено) | заменители: оценка «своим» оценщиком банка | почему свободно: рынок атомизирован, никто не собрал базу сделок и не построил AVM.</t>
  </si>
  <si>
    <t>Турция — индустрия лицензированных оценочных компаний под регулированием CMB (SPK): обязательная независимая оценка для ипотеки породила десятки специализированных компаний (TSKB Gayrimenkul Değerleme и др.) с устойчивой маржой.</t>
  </si>
  <si>
    <t>2.7 трлн сум на ипотечные субсидии в 2026 с приёмом заявок с августа 2026 + льготная ипотека от 17.5% + переход застройщиков на банковское проектное финансирование с 01.01.2026 — три источника обязательных оценок одновременно.</t>
  </si>
  <si>
    <t>Лицензия/аккредитация оценочной организации, аттестованные оценщики, страхование профессиональной ответственности.</t>
  </si>
  <si>
    <t>Демпинг мелких оценщиков и давление банка на «нужную» стоимость залога.</t>
  </si>
  <si>
    <t>IND-01</t>
  </si>
  <si>
    <t>C&amp;I солнце + накопители «за счётчиком» по PPA (нулевые капзатраты клиента)</t>
  </si>
  <si>
    <t>Промышленность и инфраструктура (энергетика)</t>
  </si>
  <si>
    <t>Строим за свой счёт солнечную станцию и батарею на территории предприятия и продаём ему электроэнергию по долгосрочному договору дешевле сети.</t>
  </si>
  <si>
    <t>Промышленные и коммерческие потребители — текстиль, холодильники, теплицы, ТРЦ, ЦОД, клиники.</t>
  </si>
  <si>
    <t>PPA на 10-15 лет, тариф на 15-30% ниже сетевого (оценка); объект 1-3 МВт = $0.6-2.5 млн капзатрат, выручка $150-500 тыс./год (оценка).</t>
  </si>
  <si>
    <t>Только за июнь-июль 2026 около 4 000 аварий в электросетях, отключения от 8-10 часов до 4 суток; для холодильного склада или литейки это прямой убыток, кратно превышающий счёт за электричество.</t>
  </si>
  <si>
    <t>Проектируем, финансируем, строим и эксплуатируем; клиент не платит капзатрат и подписывает take-or-pay; батарея закрывает вечерний пик и провалы сети.</t>
  </si>
  <si>
    <t>Экономия на тарифе плюс устранённые потери от простоя; для клиента ноль капзатрат и предсказуемая цена энергии на 10 лет против тарифа, который менялся уже с 01.06.2026.</t>
  </si>
  <si>
    <t>ближайшие игроки: Enter Solar, Energy Eco Sources и другие EPC-инсталляторы (продают оборудование, не энергию), крупные IPP (24 независимых производителя работают на оптовом уровне) | заменители: дизель-генератор, «терпеть отключения», покупка панелей в собственность | почему свободно: локальные игроки продают железо, а не PPA — им не хватает баланса и длинных денег, чтобы держать актив на себе.</t>
  </si>
  <si>
    <t>Daystar Power — Нигерия, C&amp;I solar+storage по PPA для промышленности, куплена Shell в 2023; CleanMax (Индия) — 1.5+ ГВт C&amp;I, инвестиции Brookfield ~$360 млн.</t>
  </si>
  <si>
    <t>План 2026: +2.8 ГВт солнца, +470 МВт ветра и +884 МВт СИСТЕМ ХРАНЕНИЯ; 08.08.2026 впервые раскрыты тарифы по звеньям (производство 522-1126, передача 98, распределение 171-410 сум/кВтч), что делает экономику PPA считаемой; для крупных предприятий вводятся прямые договоры на оптовом рынке с почасовым ценообразованием.</t>
  </si>
  <si>
    <t>1.5-5 млн собственных под первые 2-3 объекта с плечом (проектное финансирование/DFI).</t>
  </si>
  <si>
    <t>Деятельность на розничном/оптовом рынке подлежит лицензированию Агентством по развитию и регулированию энергорынка; деятельность по ХРАНЕНИЮ энергии по закону также лицензируется; техусловия на подключение и режим параллельной работы с сетью.</t>
  </si>
  <si>
    <t>Проект снижения «зелёных тарифов» на излишки в 2026 ухудшает экономику при отдаче в сеть — модель должна жить только на собственном потреблении клиента.</t>
  </si>
  <si>
    <t>IND-02</t>
  </si>
  <si>
    <t>Независимый энергосбыт и трейдер на новом оптовом рынке</t>
  </si>
  <si>
    <t>Получить лицензию участника оптового и розничного рынков, агрегировать спрос группы предприятий и продавать им электроэнергию по прямым договорам с хеджированием почасовой цены.</t>
  </si>
  <si>
    <t>Средние и крупные промышленные потребители, которым выгоден почасовой профиль и предсказуемость.</t>
  </si>
  <si>
    <t>Спред 3-8% от оборота энергии (оценка); портфель 300 ГВтч/год ≈ оборот $20-30 млн, валовая прибыль $1-2 млн (оценка).</t>
  </si>
  <si>
    <t>Крупному предприятию открыли прямые договоры и почасовое ценообразование, но у него нет ни трейдера, ни прогноза потребления, ни балансирующей позиции — оно теряет на отклонениях.</t>
  </si>
  <si>
    <t>Лицензия + портфель контрактов + прогнозирование нагрузки + агрегация мелких потребителей в один профиль + опционально управление спросом (DR) и батареями клиентов.</t>
  </si>
  <si>
    <t>Для клиента цена ниже регулируемой на 5-15% (оценка) и снятие штрафов за отклонения; для нас — оборотный, а не капиталоёмкий бизнес.</t>
  </si>
  <si>
    <t>ближайшие игроки: НЭГУ (государственный закупщик), региональные сбытовые предприятия, 24 действующих IPP | заменители: покупка у регионального сбыта по регулируемому тарифу | почему свободно: лицензируемый вид деятельности только создаётся, у государства официально признан дефицит опыта работы с частными участниками (АБР даёт transaction advisory).</t>
  </si>
  <si>
    <t>Турция — после либерализации и запуска биржи EPİAŞ (с 2015) выросли десятки независимых сбытовых и трейдинговых компаний (Enerjisa Müşteri Çözümleri, Aydem и др.), доля свободного рынка превысила половину потребления.</t>
  </si>
  <si>
    <t>Создаётся Агентство по развитию и регулированию энергорынка, отвечающее за ЛИЦЕНЗИРОВАНИЕ участников оптового и розничного рынков; с 01.01.2026 агентство вносит в Кабмин предложения по тарифам; к 2026 планируется свободный оптовый рынок и единая торговая платформа.</t>
  </si>
  <si>
    <t>1-3 млн (лицензия, обеспечение/гарантии, оборотный капитал, команда трейдинга).</t>
  </si>
  <si>
    <t>Лицензия участника оптового и/или розничного рынка электроэнергии от Агентства; финансовое обеспечение расчётов; правила рынка и балансирующего механизма (в стадии написания).</t>
  </si>
  <si>
    <t>Правила рынка ещё не написаны — сроки либерализации могут сдвинуться, а лицензия окажется без рынка.</t>
  </si>
  <si>
    <t>IND-03</t>
  </si>
  <si>
    <t>Подрядчик по модернизации распределительных сетей и учёта (T&amp;D EPC)</t>
  </si>
  <si>
    <t>Промышленность и инфраструктура</t>
  </si>
  <si>
    <t>Специализированный EPC-подрядчик, который меняет изношенные КТП, линии 0.4-10 кВ, ставит реклоузеры и системы АСКУЭ по подрядам региональных электросетей и промышленных площадок.</t>
  </si>
  <si>
    <t>Региональные электросетевые предприятия, промышленные потребители, девелоперы кварталов, IPP при подключении.</t>
  </si>
  <si>
    <t>Контракты $200 тыс. - 3 млн, валовая маржа 15-22% (оценка).</t>
  </si>
  <si>
    <t>~4 000 аварий за два месяца — это не генерация, а сети: изношенные трансформаторы, перегруженные фидеры, отсутствие секционирования; каждая авария стоит региону и предприятиям прямых денег.</t>
  </si>
  <si>
    <t>Узкая специализация на распределительном звене: типовые проекты замены КТП «под ключ», реклоузеры и телемеханика, собственная монтажная и испытательная база, скорость вместо универсальности.</t>
  </si>
  <si>
    <t>Срок замены подстанции 3-6 недель вместо кварталов (оценка); снижение аварийности на обслуживаемом фидере кратно, что измеримо в SAIDI/SAIFI.</t>
  </si>
  <si>
    <t>ближайшие игроки: подрядные организации системы «Худудий электр тармоклари», российские и китайские EPC-подрядчики по крупным контрактам | заменители: собственные ремонтные бригады сетей, латание аварий | почему свободно: сети исторически чинят сами и по остаточному принципу; частный подрядчик с ответственностью за результат — новая для отрасли конструкция.</t>
  </si>
  <si>
    <t>KEC International и Techno Electric — Индия, специализированные T&amp;D EPC-подрядчики; KEC — выручка порядка $2 млрд, выросла на государственной программе модернизации распределительных сетей.</t>
  </si>
  <si>
    <t>Кризис сети: ~4 000 аварий в июне-июле 2026, отключения до 4 суток; при этом за 10 лет привлечено $23 млрд и введено 9.5 ГВт генерации — то есть узкое место официально смещено в сети и балансировку; план на 2026 включает 884 МВт хранения, которое нужно подключать.</t>
  </si>
  <si>
    <t>700 тыс. - 2 млн (техника, склад, оборотный капитал под кассовые разрывы госконтрактов).</t>
  </si>
  <si>
    <t>Лицензия/допуск на выполнение строительно-монтажных работ, электротехническая аттестация персонала, участие в госзакупках; для работ в сетях — допуск сетевой организации.</t>
  </si>
  <si>
    <t>Кассовые разрывы и неплатежи государственного заказчика.</t>
  </si>
  <si>
    <t>AGR-01</t>
  </si>
  <si>
    <t>Сеть холодильных складов и pack-house как услуга (cold 3PL)</t>
  </si>
  <si>
    <t>Агро</t>
  </si>
  <si>
    <t>Строим современные холодильники с камерами разных температур и упаковочными линиями рядом с зонами производства и продаём хранение и предпродажную подготовку как услугу, а не как собственный трейдинг.</t>
  </si>
  <si>
    <t>Фермеры, экспортёры, оптовики, сети супермаркетов, экспортёры сухофруктов.</t>
  </si>
  <si>
    <t>$8-18 за тонну в месяц хранения (оценка) + оплата сортировки/упаковки за тонну; объект на 5 тыс. т = выручка $0.8-1.5 млн/год (оценка).</t>
  </si>
  <si>
    <t>Только 5% складских мощностей пригодны для хранения овощей и фруктов, остальное технически устарело; из-за этого фермер продаёт «с поля» в сезон по минимальной цене.</t>
  </si>
  <si>
    <t>Нейтральный оператор: не конкурируем с клиентом за товар, зарабатываем на обороте камер; добавляем сортировку, калибровку, охлаждение (pre-cooling), паллетирование и услуги под требования импортёра.</t>
  </si>
  <si>
    <t>Хранение сдвигает продажу на 3-6 месяцев, где цена выше в 1.5-3 раза (оценка); потери падают с типичных десятков процентов до единиц.</t>
  </si>
  <si>
    <t>ближайшие игроки: собственные холодильники крупных экспортёров, госпрограмма ввода 340 холодильников на 87 тыс. т к концу года | заменители: продажа «с поля», примитивные погреба-сардоба | почему свободно: госпрограмма буксует (за полгода ни одного холодильника не введено в Каракалпакстане, Андижанской, Джизакской, Сурхандарьинской и Ташкентской областях), а частный нейтральный оператор с сервисом, а не только со стенами, отсутствует.</t>
  </si>
  <si>
    <t>Snowman Logistics — Индия, публичная компания, крупнейшая сеть холодильных складов и cold 3PL; выросла именно как нейтральный оператор мощностей.</t>
  </si>
  <si>
    <t>Сокращение послеуборочных потерь дало бы дополнительно $1.2-1.7 МЛРД в год (в ценах 2023); экспорт плодоовощной в 1П2026 — 1.0867 млн т на $872.9 млн; ~2 000 га новых теплиц дают внесезонный поток, который негде хранить.</t>
  </si>
  <si>
    <t>2-6 млн на объект (с плечом от банков развития/АБР).</t>
  </si>
  <si>
    <t>Санитарно-фитосанитарные требования, HACCP для pack-house, для экспортных партий — сертификация Госкомветеринарии/карантина растений; желателен GlobalGAP-совместимый учёт.</t>
  </si>
  <si>
    <t>Отключения электроэнергии до 4 суток — холодильник без резервной генерации превращается в источник катастрофы, а не защиты.</t>
  </si>
  <si>
    <t>AGR-02</t>
  </si>
  <si>
    <t>Экспортный агрегатор качества: контрактное фермерство + GlobalGAP</t>
  </si>
  <si>
    <t>Компания подписывает с сотнями мелких фермеров контракт на посев под конкретного импортёра, ведёт агрономию и сертификацию, а затем собирает однородную партию нужного калибра и качества.</t>
  </si>
  <si>
    <t>Импортёры и розничные сети РФ, Казахстана, Китая, стран Залива и ЕС; фермер платит «в натуре» долей урожая.</t>
  </si>
  <si>
    <t>Маржа 8-15% на экспортной партии (оценка) + плата за агроуслуги и семена; оборот $10-25 млн/год при 15-30 тыс. т.</t>
  </si>
  <si>
    <t>Экспортный контракт срывается не из-за цены, а из-за неоднородности партии, остатков пестицидов и отсутствия сертификата — импортёр не может закупать у 300 разрозненных хозяйств.</t>
  </si>
  <si>
    <t>Контрактное фермерство: семена и удобрения в кредит, агроном на 30-50 га, дневник обработок, лабораторный контроль остатков, GlobalGAP на группу производителей, сбор в свой pack-house.</t>
  </si>
  <si>
    <t>Фермер получает цену на 20-40% выше «полевой» и гарантированный сбыт (оценка); импортёр получает однородную сертифицированную партию из одного окна.</t>
  </si>
  <si>
    <t>ближайшие игроки: экспортёры-трейдеры, «Узагроэкспорт»-подобные структуры, крупные фермерские хозяйства-экспортёры | заменители: покупка на дехканском рынке и пересортировка, работа через посредников | почему свободно: контрактное фермерство требует терпения и полевого аппарата, трейдеры предпочитают спот.</t>
  </si>
  <si>
    <t>Twiga Foods — Кения, агрегация мелких фермеров и поставка ритейлу, привлечено более $100 млн, включая Series C $50 млн; Delassus (Марокко) — та же механика на экспорте цитрусов в ЕС.</t>
  </si>
  <si>
    <t>Экспорт плодоовощной 1П2026 — 1.0867 млн т на $872.9 млн, овощи 504.3 тыс. т; янв-апр +9.5% г/г; при этом потери оцениваются в $1.2-1.7 млрд в год — разрыв между валом и качеством и есть ниша.</t>
  </si>
  <si>
    <t>1.5-4 млн (оборотный капитал под авансы фермерам — основная статья).</t>
  </si>
  <si>
    <t>Экспортные контракты и репатриация валютной выручки, фитосанитарные сертификаты, сертификация GlobalGAP через аккредитованный орган.</t>
  </si>
  <si>
    <t>Side-selling — фермер продаёт законтрактованный урожай на сторону при скачке спотовой цены.</t>
  </si>
  <si>
    <t>AGR-03</t>
  </si>
  <si>
    <t>Складские свидетельства и финансирование под запасы + инспекция залога</t>
  </si>
  <si>
    <t>Агро / финансы</t>
  </si>
  <si>
    <t>Оператор, который принимает урожай на аккредитованный склад, выпускает складское свидетельство и обеспечивает банку контроль залога, чтобы фермер получил кредит под товар, а не под недвижимость.</t>
  </si>
  <si>
    <t>Банки (за коллатеральный менеджмент), фермеры и трейдеры (за хранение и оформление).</t>
  </si>
  <si>
    <t>1-2% от стоимости заложенного товара в год (оценка) + тариф хранения; портфель $30 млн под контролем = $0.4-0.7 млн/год.</t>
  </si>
  <si>
    <t>Фермеру нужны деньги в момент уборки, а залога нет: земля в аренде, техника старая; банк не кредитует под зерно/сухофрукты, потому что не может контролировать, что товар на месте.</t>
  </si>
  <si>
    <t>Аккредитация складов, пломбы и учёт партий, независимые инспекторы, реестр свидетельств, трёхсторонний договор банк-склад-заёмщик, страхование товара.</t>
  </si>
  <si>
    <t>Ставка кредита под товар ниже беззалогового на 5-10 п.п. (оценка); фермер уходит от вынужденной продажи в сезон и ловит зимнюю цену.</t>
  </si>
  <si>
    <t>ближайшие игроки: УзРТСБ (товарно-сырьевая биржа) со складскими операциями, отдельные банки с залогом товаров в обороте | заменители: продажа урожая сразу, микрозаймы под 40%+ (оценка) | почему свободно: инфраструктура складских свидетельств не построена, а банки не имеют аппарата контроля товара на местах.</t>
  </si>
  <si>
    <t>AFEX Commodities Exchange — Нигерия, система складских свидетельств и warehouse receipt finance; профинансировано более $100 млн под товарные запасы сотен тысяч мелких фермеров.</t>
  </si>
  <si>
    <t>Потери урожая на $1.2-1.7 млрд в год и рост холодильных мощностей (план 340 объектов на 87 тыс. т) создают физическую базу для складских свидетельств; параллельно проект НОВОГО закона о рынке капитала (16 глав, 123 статьи, представлен 13.08.2026) и активный регулятор НАПП дают правовую рамку для оборота товарораспорядительных документов.</t>
  </si>
  <si>
    <t>500 тыс. - 1.5 млн (без покупки складов, только контроль и IT).</t>
  </si>
  <si>
    <t>Требуется правовое признание складского свидетельства как залога, аккредитация складов, страхование; часть режима может потребовать согласования с ЦБ и НАПП.</t>
  </si>
  <si>
    <t>Правовая незрелость: если суд не признаёт свидетельство приоритетным залогом, вся модель рассыпается.</t>
  </si>
  <si>
    <t>TRD-01</t>
  </si>
  <si>
    <t>B2B-дистрибуция FMCG для малых магазинов с приложением и товарным кредитом</t>
  </si>
  <si>
    <t>Торговля</t>
  </si>
  <si>
    <t>Приложение, через которое владелец мелкого магазина заказывает товар у нас с доставкой на следующий день и отсрочкой платежа, а мы заменяем десяток разрозненных торговых представителей.</t>
  </si>
  <si>
    <t>Владельцы небольших продуктовых магазинов и точек на рынках; вторично — производители за гарантированную полку и данные.</t>
  </si>
  <si>
    <t>Валовая маржа 8-14% на товаре (оценка) + комиссия за отсрочку 2-3% в месяц; средний заказ $150-400 (оценка).</t>
  </si>
  <si>
    <t>Хозяин магазина принимает 8-15 поставщиков в неделю, каждый со своей ценой и своим долгом; денег на выкуп товара не хватает, полка пустеет к концу месяца.</t>
  </si>
  <si>
    <t>Один заказ, один счёт, одна доставка; собственные тёмные склады в районах, маршрутизация, товарный кредит на 7-14 дней с лимитом на основе истории заказов.</t>
  </si>
  <si>
    <t>Цена на уровне или ниже традиционных дистрибьюторов, экономия 5-8 часов в неделю на приёмке (оценка), товарный кредит вместо предоплаты.</t>
  </si>
  <si>
    <t>ближайшие игроки: классические дистрибьюторы FMCG, кэш-энд-керри, оптовые рынки (Абу-Сахий и др.), Uzum как B2C-игрок | заменители: поездка на оптовый рынок раз в неделю, закупка у торгпредов | почему свободно: рынок дистрибуции архаичен, а B2C-платформы сфокусированы на потребителе, не на магазине.</t>
  </si>
  <si>
    <t>MaxAB — Египет, B2B-платформа для мелких магазинов, Series A $40 млн и последующее слияние с Wasoko (2024); Bazaar Technologies — Пакистан, Series B $70 млн.</t>
  </si>
  <si>
    <t>С 01.01.2026 ИП с оборотом менее 1 млрд сум облагаются по ставке 1% — резкое снижение стоимости выхода мелкой торговли в «белую», что впервые делает электронный заказ с документами выгоднее наличного оборота; параллельно Uzum довёл GMV электронной торговли до более $500 млн и 34 млн заказов, приучив рынок к приложениям.</t>
  </si>
  <si>
    <t>1.5-4 млн (оборотный капитал под товар и отсрочку — главная статья).</t>
  </si>
  <si>
    <t>Общий торговый режим, онлайн-ККМ, маркировка отдельных товарных групп; товарный кредит структурировать как коммерческую отсрочку, а не как кредитование (иначе режим ЦБ).</t>
  </si>
  <si>
    <t>Невозвраты по отсрочке при отсутствии кредитной истории у мелких магазинов.</t>
  </si>
  <si>
    <t>TRD-02</t>
  </si>
  <si>
    <t>E-commerce enabler: фулфилмент и «продавец как услуга» для Uzum, Olcha, Sello</t>
  </si>
  <si>
    <t>Берём бренд или импортёра и ведём за него всю торговлю на маркетплейсах — карточки, цену, рекламу, склад, доставку и возвраты — за процент от продаж.</t>
  </si>
  <si>
    <t>Производители РУз, импортёры, зарубежные бренды, желающие продавать в Узбекистане без юрлица и склада.</t>
  </si>
  <si>
    <t>10-20% от GMV клиента (оценка) + тарифы фулфилмента за единицу; клиент с GMV $500 тыс./год приносит $60-100 тыс.</t>
  </si>
  <si>
    <t>Uzum Market — более 70% рынка e-commerce и 14 000+ продавцов; бренду нужно уметь вести карточки, рейтинги, склад и рекламу — компетенции, которой у производителя нет.</t>
  </si>
  <si>
    <t>Полный аутсорс канала: контент и фото, ценообразование, рекламные ставки, склад с приёмкой и упаковкой, работа с возвратами и отзывами, аналитика по SKU; плюс импорт из Китая под ключ для собственных марок.</t>
  </si>
  <si>
    <t>Рост продаж канала в 2-4 раза за сезон против самостоятельного ведения (оценка) без найма отдела; для зарубежного бренда — вход на рынок без юрлица.</t>
  </si>
  <si>
    <t>ближайшие игроки: агентства-«байеры» на Uzum, логистические компании с фулфилментом, внутренние сервисы самих маркетплейсов | заменители: продавец ведёт сам, нанимает менеджера, продаёт офлайн | почему свободно: рынок появился за 2-3 года, профессиональных enabler-компаний почти нет (не подтверждено поимённо).</t>
  </si>
  <si>
    <t>SIRCLO — Индонезия, e-commerce enabler и фулфилмент для брендов, привлечено более $100 млн; Increff (Индия) — та же роль в складской и ассортиментной части.</t>
  </si>
  <si>
    <t>GMV Uzum за 2025 вырос в 1.5 раза и превысил $500 млн при 34 млн заказов; более 1 700 собственных пунктов выдачи; с 01.01.2026 ставка 1% для ИП с оборотом до 1 млрд сум удешевляет выход мелких продавцов на площадки.</t>
  </si>
  <si>
    <t>300 тыс. - 1 млн (склад, WMS, команда, товарный оборот при выкупных схемах).</t>
  </si>
  <si>
    <t>Общий режим торговли и склада; при импорте — таможенное оформление и сертификация; договоры с площадками как агент или как продавец.</t>
  </si>
  <si>
    <t>Зависимость от одной площадки: изменение комиссий или запуск собственного enabler-сервиса Uzum обнуляет маржу.</t>
  </si>
  <si>
    <t>LOG-01</t>
  </si>
  <si>
    <t>Цифровой брокер грузоперевозок (digital freight) на коридорах РУз</t>
  </si>
  <si>
    <t>Логистика</t>
  </si>
  <si>
    <t>Платформа-перевозчик: берём обязательство перед грузовладельцем, находим машину среди тысяч частных фур через приложение и платим водителю быстро, зарабатывая на спреде.</t>
  </si>
  <si>
    <t>Грузовладельцы — экспортёры плодоовощной, текстиля, импортёры из Китая, ритейл.</t>
  </si>
  <si>
    <t>Спред 10-18% от ставки рейса (оценка); рейс Ташкент-Алматы или Ташкент-Москва — $1.5-4 тыс.</t>
  </si>
  <si>
    <t>Рынок держится на диспетчерах-посредниках: ставка непрозрачна, машина ищется днями, водитель ждёт оплаты 30-60 дней, груз не отслеживается.</t>
  </si>
  <si>
    <t>Приложение для водителей с заявками и мгновенной оплатой (факторинг рейса), скоринг перевозчиков, GPS-трекинг, электронные документы, страхование груза.</t>
  </si>
  <si>
    <t>Подача машины за часы вместо дней, ставка прозрачна, для перевозчика оплата в 1-3 дня вместо месяца — это дороже для нас, но именно за это платит грузовладелец надёжностью.</t>
  </si>
  <si>
    <t>ближайшие игроки: диспетчерские компании, Telegram-группы перевозчиков, международные экспедиторы (Ekol, DSV — присутствие ограничено, не подтверждено) | заменители: собственный автопарк, «свой» диспетчер | почему свободно: фрагментированный парк частных фур и отсутствие оборотного капитала у посредников — нужен игрок, готовый финансировать рейс.</t>
  </si>
  <si>
    <t>BlackBuck — Индия, цифровой брокер грузоперевозок, IPO на NSE/BSE в 2024; Trella — Египет/Саудовская Аравия, Series A $42 млн на том же коридорном рынке.</t>
  </si>
  <si>
    <t>Экспорт плодоовощной 1П2026 — 1.0867 млн т (физически это сотни тысяч фур), рост транзита афганских грузов и запуск мультимодального коридора Китай-Узбекистан-Туркменистан-Афганистан (05.2026); Минтранс публично ставит цель сделать страну «настоящим транзитным хабом».</t>
  </si>
  <si>
    <t>1-3 млн (оборотный капитал под быстрые выплаты перевозчикам — основная статья).</t>
  </si>
  <si>
    <t>Лицензия на международные автоперевозки (или работа как экспедитор), разрешения ЕКМТ/дозволы, страхование ответственности экспедитора, валютное регулирование по международным рейсам.</t>
  </si>
  <si>
    <t>Отрицательный оборотный капитал: платим водителю за 2 дня, а получаем от клиента за 45 — модель ломается при кассовом разрыве.</t>
  </si>
  <si>
    <t>LOG-02</t>
  </si>
  <si>
    <t>Бондовый склад и таможенный хаб в Термезе под афганский транзит</t>
  </si>
  <si>
    <t>Склад временного хранения и консолидации в Термезе с таможенным брокером, где грузы из Китая и Залива переоформляются и дробятся под афганских покупателей.</t>
  </si>
  <si>
    <t>Афганские импортёры, китайские и турецкие поставщики, международные гуманитарные организации, узбекские экспортёры.</t>
  </si>
  <si>
    <t>Хранение $1.5-4 за т/сутки (оценка), брокерский сбор $150-400 за декларацию, кросс-докинг за паллету; объект даёт $1.5-4 млн выручки/год (оценка).</t>
  </si>
  <si>
    <t>Афганский импортёр не может держать склад в Китае и не может растаможить сборный груз на границе; сейчас груз стоит на подъездах к мосту Хайратон сутками.</t>
  </si>
  <si>
    <t>Склад в приграничной зоне + собственный брокер + консолидация мелких партий + опция бондового режима (без уплаты пошлин до вывоза) + рефсекция для продуктов.</t>
  </si>
  <si>
    <t>Срок прохождения границы сокращается с суток до часов (оценка), импортёр экономит на демередже и получает возможность закупать мелкими партиями.</t>
  </si>
  <si>
    <t>ближайшие игроки: государственный терминал в Термезе (Termez Cargo Centre — не подтверждено по владельцу), приграничные брокеры, «Узбекистон темир йуллари» | заменители: перегруз «в поле», работа через пакистанский Карачи с 35-дневным плечом | почему свободно: политический риск отпугивает международных операторов, а местные не имеют компетенции бондового склада.</t>
  </si>
  <si>
    <t>Agility — Кувейт, выросла на логистике и снабжении в Ираке и Афганистане в 2000-х, превратившись в глобального оператора с многомиллиардной выручкой; DP World — модель приграничной свободной зоны как источника ренты.</t>
  </si>
  <si>
    <t>Трансафганская ж/д «Термез-Найбабад-Майданшахр-Логар-Харлачи»: трёхстороннее рамочное соглашение по ТЭО подписано, прогноз грузопотока 8-15 млн т/год; Узбекистан предложил создать логистический центр и складской комплекс в районе Наибабада (06.2026); стороны договорились пересмотреть условия для грузоперевозчиков.</t>
  </si>
  <si>
    <t>2-5 млн (склад, техника, лицензии, оборотный капитал).</t>
  </si>
  <si>
    <t>Лицензия таможенного брокера, статус СВХ/бондового склада от Таможенного комитета, соблюдение санкционного комплаенса при работе с афганскими контрагентами.</t>
  </si>
  <si>
    <t>Политика: закрытие границы или санкционные ограничения обнуляют поток; сроки коридоров исторически сдвигаются.</t>
  </si>
  <si>
    <t>LOG-03</t>
  </si>
  <si>
    <t>Рефрижераторная логистика на экспорт: автопарк + мультимодальные рефконтейнеры</t>
  </si>
  <si>
    <t>Специализированный оператор холодной перевозки, который довозит плодоовощную продукцию до Москвы, Алматы и китайской границы с непрерывным контролем температуры и документально подтверждённой холодовой цепью.</t>
  </si>
  <si>
    <t>Экспортёры плодоовощной продукции, тепличные хозяйства, дистрибьюторы фармы (обратная загрузка).</t>
  </si>
  <si>
    <t>Рейс с рефрижератором $3-6 тыс. (оценка), маржа 18-25%; парк 30 машин = выручка $6-10 млн/год (оценка).</t>
  </si>
  <si>
    <t>Груз портится в пути: перевозчик выключает холод для экономии топлива, температурного лога нет, импортёр снимает 10-30% с цены за качество; спор доказать нечем.</t>
  </si>
  <si>
    <t>Собственный парк рефов с телеметрией и пломбами, температурный лог как юридический документ, обучение водителей, страховка под холодовую цепь, мультимодальные рефконтейнеры для железной дороги в Китай.</t>
  </si>
  <si>
    <t>Снижение потерь по партии на 10-20 п.п. (оценка) — это больше, чем вся стоимость перевозки; доказуемая холодовая цепь открывает премиальные сети.</t>
  </si>
  <si>
    <t>ближайшие игроки: частные владельцы 1-3 рефов, российские и казахстанские перевозчики на обратной загрузке | заменители: обычный тент с одеялами, отправка «на удачу» | почему свободно: 95% складов не пригодны для хранения овощей и фруктов — вся холодовая цепь недоинвестирована, а перевозка её самое слабое звено.</t>
  </si>
  <si>
    <t>Ekol Logistics — Турция, интермодальный оператор с рефрижераторным сегментом на экспорте свежей продукции в ЕС, выручка порядка €1 млрд; Snowman Logistics (Индия) — cold 3PL с собственным рефпарком.</t>
  </si>
  <si>
    <t>Экспорт плодоовощной 1П2026 — 1.0867 млн т на $872.9 млн; потери оцениваются в $1.2-1.7 млрд в год; только 5% складских мощностей пригодны для хранения овощей и фруктов (эксперт, 04.2026); ~2 000 га новых теплиц создают круглогодичный поток.</t>
  </si>
  <si>
    <t>2-5 млн (парк в лизинг: собственных 0.6-1.5 млн).</t>
  </si>
  <si>
    <t>Лицензия международных автоперевозок, дозволы, санитарный паспорт транспорта, требования импортёров к температурному режиму (для ЕС — HACCP-совместимость).</t>
  </si>
  <si>
    <t>Обратная загрузка: рефрижератор, идущий пустым назад, съедает всю маржу.</t>
  </si>
  <si>
    <t>MED-A-01</t>
  </si>
  <si>
    <t>Узбекоязычная медиасеть и продакшн-студия (MCN + брендированный контент)</t>
  </si>
  <si>
    <t>Медиа</t>
  </si>
  <si>
    <t>Собираем портфель узбекоязычных каналов и авторов в YouTube/Instagram/Telegram, добавляем собственную студию и продаём рекламодателям интегрированный охват вместо разрозненных блогеров.</t>
  </si>
  <si>
    <t>Рекламодатели — банки, телеком, FMCG, маркетплейсы, застройщики, международные бренды.</t>
  </si>
  <si>
    <t>Комиссия 25-40% от бюджета интеграции (оценка) + производство контента по прайсу; кампания $10-80 тыс.</t>
  </si>
  <si>
    <t>Бренду нужно охватить узбекоязычную аудиторию, но закупка идёт вручную у 20 блогеров без отчётности, без бренд-безопасности и без счетов-фактур.</t>
  </si>
  <si>
    <t>Эксклюзивные договоры с авторами, единый прайс и медиакит, собственная студия для производства, отчётность и постоплата, бренд-безопасность и юридическая чистота сделки.</t>
  </si>
  <si>
    <t>Для рекламодателя одно юрлицо, один договор и измеримый охват вместо 20 договорённостей в Telegram; для автора — стабильный доход и продакшн.</t>
  </si>
  <si>
    <t>ближайшие игроки: локальные digital-агентства Ташкента, самостоятельные блогеры, телеканалы с традиционным инвентарём | заменители: прямая закупка у блогеров, ТВ-реклама | почему свободно: рынок только переходит с ТВ на онлайн, а институциональный посредник с отчётностью для крупного бренда ещё не сложился (не подтверждено поимённо).</t>
  </si>
  <si>
    <t>IDN Media — Индонезия, медиасеть на локальном языке для молодой аудитории, привлекла порядка $60 млн; Yeah1 (Вьетнам) — MCN, вышла на биржу HOSE.</t>
  </si>
  <si>
    <t>Взрывной рост рекламных бюджетов платформенной экономики: Uzum довёл GMV до более $500 млн и 34 млн заказов с 14 000+ продавцов, каждому из которых нужен трафик; параллельно экспорт туруслуг $4.6 млрд за 8 мес 2026 создаёт спрос на продвижение внутри страны.</t>
  </si>
  <si>
    <t>200-600 тыс.</t>
  </si>
  <si>
    <t>Требования к рекламе (закон о рекламе), маркировка рекламы, ограничения по отдельным категориям (финуслуги, медицина, алкоголь); СМИ-лицензия не нужна для платформенного контента (оценка).</t>
  </si>
  <si>
    <t>Авторы уходят напрямую к рекламодателю после первой удачной кампании.</t>
  </si>
  <si>
    <t>MED-A-02</t>
  </si>
  <si>
    <t>DOOH в лифтах и холлах новостроек (лифтовая реклама с programmatic)</t>
  </si>
  <si>
    <t>Ставим экраны в лифтах и холлах новых жилых комплексов и бизнес-центров и продаём рекламные слоты по географии и времени суток.</t>
  </si>
  <si>
    <t>Рекламодатели с локальным таргетом — банки, доставка, аптеки, застройщики, ритейл в шаговой доступности.</t>
  </si>
  <si>
    <t>CPM или пакет на дом/квартал; экран приносит $60-200/мес (оценка), сеть 2 000 экранов = $1.5-4 млн/год.</t>
  </si>
  <si>
    <t>Наружная реклама в Ташкенте зарегулирована и дорога, ТВ бьёт по всем сразу; рекламодателю с локальным бизнесом некуда идти за таргетом «дом рядом».</t>
  </si>
  <si>
    <t>Договор с управляющей компанией или ТСЖ (доля от выручки за размещение), сеть экранов с удалённым управлением контентом, продажа слотов по кварталам, отчётность по проигрываниям.</t>
  </si>
  <si>
    <t>Стоимость контакта в разы ниже наружной рекламы (оценка) при принудительном внимании в лифте 20-40 секунд; для УК — новый доход без затрат.</t>
  </si>
  <si>
    <t>ближайшие игроки: операторы наружной рекламы Ташкента, реклама в ТРЦ, экраны на транспорте | заменители: объявления в подъезде, листовки в почтовые ящики, таргет в Instagram | почему свободно: сегмент требует одновременно договорной работы с сотнями УК и капитала на экраны — барьер входа не технологический, а операционный.</t>
  </si>
  <si>
    <t>Focus Media — Китай, реклама в лифтах офисных и жилых зданий; публичная компания с капитализацией в миллиарды долларов и сотнями тысяч экранов, эталон категории.</t>
  </si>
  <si>
    <t>2.7 трлн сум на ипотечные субсидии в 2026 (приём заявок с августа) и переход отрасли на эскроу с 01.01.2026 ускоряют ввод именно многоэтажных ЖК с лифтами — физический инвентарь для сети создаётся прямо сейчас.</t>
  </si>
  <si>
    <t>400 тыс. - 1.2 млн (экраны + монтаж + софт).</t>
  </si>
  <si>
    <t>Реклама внутри частного здания не требует разрешения на наружную рекламу (оценка, требует проверки), но нужны договоры с собственниками общего имущества и соблюдение закона о рекламе.</t>
  </si>
  <si>
    <t>Вандализм и перезаключение договоров: УК поднимает долю или отдаёт места конкуренту после того, как сеть построена.</t>
  </si>
  <si>
    <t>ALT-01</t>
  </si>
  <si>
    <t>«Счётчик как услуга»: метрология, поверка и AMI-оператор</t>
  </si>
  <si>
    <t>Вне категорий (лицензируемая нишевая монополия)</t>
  </si>
  <si>
    <t>Аккредитованная лаборатория поверки приборов учёта плюс оператор умного учёта, который ставит счётчики за свой счёт и получает плату за каждый переданный показатель в течение 8-10 лет.</t>
  </si>
  <si>
    <t>Электросетевые и газоснабжающие организации, водоканалы, промышленные потребители, управляющие компании.</t>
  </si>
  <si>
    <t>Поверка $4-15 за прибор (оценка); AMI-контракт — $0.4-1.2 за счётчик в месяц на 8-10 лет (оценка); 200 тыс. точек = $1-2.5 млн/год.</t>
  </si>
  <si>
    <t>Раскрытие тарифов по звеньям обнажило потери в распределении (171-410 сум/кВтч); без достоверного учёта невозможен ни почасовой тариф, ни свободный рынок — а поверка миллионов приборов физически не покрыта лабораториями.</t>
  </si>
  <si>
    <t>Две ноги: (1) регулируемая услуга поверки/калибровки с аккредитацией — устойчивая рента; (2) AMISP-модель, где мы финансируем счётчики и зарабатываем на сервисе, а не на продаже железа.</t>
  </si>
  <si>
    <t>Для сетевой компании ноль капзатрат и снижение коммерческих потерь на 5-15 п.п. (оценка); для потребителя — прекращение споров о показаниях.</t>
  </si>
  <si>
    <t>ближайшие игроки: государственный «Узстандарт» и его центры, поставщики счётчиков (китайские и турецкие вендоры), внутренние службы сетей | заменители: ручной обход контролёром, «договорное» начисление | почему свободно: аккредитация и капитал под 8-летний контракт одновременно — редкое сочетание; вендоры продают железо и уходят.</t>
  </si>
  <si>
    <t>Genus Power Infrastructures — Индия, крупнейший AMISP по государственной программе умного учёта, контракты на десятки миллионов счётчиков, выручка порядка $250 млн; модель «оператор учёта, а не продавец счётчиков» доказана.</t>
  </si>
  <si>
    <t>08.08.2026 ВПЕРВЫЕ раскрыты тарифы по звеньям (производство 522-1126, передача 98, распределение 171-410 сум/кВтч); создаётся Агентство по развитию и регулированию энергорынка с функцией лицензирования участников; для крупных предприятий вводится почасовое ценообразование — оно невозможно без интервального учёта.</t>
  </si>
  <si>
    <t>1-3 млн (лаборатория + первая партия счётчиков; дальше — проектное финансирование под контракт).</t>
  </si>
  <si>
    <t>Аккредитация метрологической лаборатории (Узстандарт, ГОСТ ISO/IEC 17025), утверждение типа средств измерений, вероятная лицензия участника рынка от нового Агентства.</t>
  </si>
  <si>
    <t>Регуляторная зависимость: тариф на поверку и условия AMI-контрактов устанавливает государство, которое же и является заказчиком.</t>
  </si>
  <si>
    <t>ALT-02</t>
  </si>
  <si>
    <t>EPR-оператор и переработка: свинцово-кислотные АКБ, литий и солнечные панели</t>
  </si>
  <si>
    <t>Вне категорий (регуляторно создаваемый рынок)</t>
  </si>
  <si>
    <t>Компания, которая собирает и легально перерабатывает опасные отходы новой энергетики — аккумуляторы, батареи накопителей, отработавшие панели — и продаёт производителям услугу закрытия их обязательств по утилизации.</t>
  </si>
  <si>
    <t>Импортёры и производители оборудования (сбор за утилизацию), автосервисы и сетевые компании (сдача лома), покупатели вторичного свинца и металлов.</t>
  </si>
  <si>
    <t>Продажа вторичного свинца и полимеров + плата за утилизацию $80-250 за тонну (оценка); завод на 10 тыс. т/год = выручка $8-15 млн (оценка).</t>
  </si>
  <si>
    <t>Страна ставит +2.8 ГВт солнца и +884 МВт хранения в 2026 — через 8-12 лет это горы токсичных отходов, а уже сейчас автомобильные АКБ перерабатываются кустарно с выбросами свинца.</t>
  </si>
  <si>
    <t>Лицензированный завод рециклинга + сеть пунктов приёма при автосервисах и у сетевых компаний + реестр закрытых обязательств для импортёров + сертификаты утилизации для их отчётности и ESG.</t>
  </si>
  <si>
    <t>Для импортёра — закрытие обязательства дешевле штрафа и репутационного риска; вторичный свинец на 20-40% дешевле первичного (оценка) при внутреннем спросе аккумуляторных заводов.</t>
  </si>
  <si>
    <t>ближайшие игроки: кустарные переработчики АКБ, металлоломные компании, экспорт лома в Китай/Пакистан | заменители: свалка, вывоз лома за границу | почему свободно: категория ещё не оформилась регуляторно, а капитал и экологические разрешения отпугивают мелких игроков.</t>
  </si>
  <si>
    <t>Attero Recycling — Индия, переработка электронных отходов и литиевых батарей, раунд около $100 млн (2022), выход на прибыльность; ÇEVKO (Турция) — модель отраслевого EPR-оператора.</t>
  </si>
  <si>
    <t>План 2026: +2.8 ГВт солнца, +470 МВт ветра, +884 МВт систем хранения; за 10 лет введено 9.5 ГВт мощностей при $23 млрд инвестиций — физический поток оборудования, который придётся утилизировать, уже законтрактован.</t>
  </si>
  <si>
    <t>3-8 млн (завод), либо 300-700 тыс. на старте как сборщик-агрегатор без собственной переработки.</t>
  </si>
  <si>
    <t>Лицензия на обращение с опасными отходами, экологическая экспертиза, разрешение на выбросы; режим EPR в РУз находится в стадии формирования (не подтверждено — требует проверки в полевом круге).</t>
  </si>
  <si>
    <t>Норма EPR может не быть введена или не иметь санкций — тогда никто не платит за утилизацию и остаётся только цена лома.</t>
  </si>
  <si>
    <t>ALT-03</t>
  </si>
  <si>
    <t>Инфраструктурная «пошлина»: весогабаритный контроль и платный проезд для грузовиков</t>
  </si>
  <si>
    <t>Вне категорий (концессия / плата за проезд)</t>
  </si>
  <si>
    <t>Концессия на автоматические пункты весогабаритного контроля и систему взимания платы с большегрузов на транзитных коридорах, где оператор получает долю сбора.</t>
  </si>
  <si>
    <t>Государство (доля от сбора или плата за доступность) — источник средств: перевозчики, включая транзитных иностранных.</t>
  </si>
  <si>
    <t>8-20% от собранных платежей или фиксированная плата за доступность системы (оценка); коридор на 2-3 млн т транзита даёт сбор в десятки миллионов долларов в год (оценка).</t>
  </si>
  <si>
    <t>Перегруз разрушает дороги быстрее, чем их успевают чинить, а транзитные фуры не платят за износ; у государства нет ни данных о потоке, ни механизма сбора.</t>
  </si>
  <si>
    <t>Оператор ставит рамки WIM (взвешивание в движении), камеры распознавания, систему бортовых устройств и биллинг, интегрирует с таможней и МВД; штрафы и плата собираются автоматически.</t>
  </si>
  <si>
    <t>Для бюджета — новый неналоговый доход и объективные данные о грузопотоке; для добросовестного перевозчика — конец конкуренции с теми, кто возит с перегрузом.</t>
  </si>
  <si>
    <t>ближайшие игроки: государственные структуры дорожного хозяйства, Kapsch TrafficCom и китайские поставщики как вендоры оборудования | заменители: ручные посты ГАИ с весами, откровенно коррупционный сбор на дороге | почему свободно: категория требует политического договора о разделе сбора — барьер не технический, а сделочный, и потому редко занята.</t>
  </si>
  <si>
    <t>Kapsch TrafficCom — Австрия, оператор национальных систем платы за проезд грузовиков (Венгрия HU-GO, Болгария, Чехия), выручка порядка €500 млн; в России систему «Платон» построил и оперирует частный концессионер (РТ-Инвест), получая долю сбора.</t>
  </si>
  <si>
    <t>Минтранс публично ставит цель сделать страну «настоящим транзитным хабом»; открыт мультимодальный коридор Китай-Узбекистан-Туркменистан-Афганистан (05.2026); прогноз потока по Трансафганской ж/д 8-15 млн т/год тянет за собой автомобильный подвоз; ТЭО коридора начато в 2026.</t>
  </si>
  <si>
    <t>5-20 млн под концессию (преимущественно проектное финансирование); подготовка сделки — 200-400 тыс.</t>
  </si>
  <si>
    <t>Закон о ГЧП и концессиях, постановление правительства по конкретному проекту, тарифное решение по плате за проезд; нужен долгосрочный контракт с государством.</t>
  </si>
  <si>
    <t>Политический: пересмотр доли оператора или тарифа после того, как инфраструктура построена (классический риск экспроприации ренты).</t>
  </si>
  <si>
    <t>IT-13</t>
  </si>
  <si>
    <t>Вертикальный SaaS для аптек и фармдистрибьюторов</t>
  </si>
  <si>
    <t>IT (вертикальный SaaS)</t>
  </si>
  <si>
    <t>Облачная система учёта для аптечных сетей и дистрибьюторов — партии, сроки годности, рецепты, маркировка, интеграция с госсистемами и с ЭДО поставщиков.</t>
  </si>
  <si>
    <t>Аптеки (единичные и сети), оптовые фармдистрибьюторы, производители ЛС.</t>
  </si>
  <si>
    <t>SaaS $30-120 за точку в месяц (оценка) + внедрение; 1 500 точек = $0.6-1.8 млн ARR.</t>
  </si>
  <si>
    <t>Аптека ведёт учёт в 1С десятилетней давности или в Excel; при обязательном GMP и ужесточении регистрации ЛС списание просроченного и ошибки в партиях становятся не бухгалтерской, а лицензионной проблемой.</t>
  </si>
  <si>
    <t>Отраслевое ядро: партионный учёт со сроками, автозаказ по остаткам, интеграция с прайсами дистрибьюторов, модуль маркировки и отчётности, аналитика оборачиваемости SKU; мультиязычный интерфейс (уз/рус).</t>
  </si>
  <si>
    <t>Снижение списаний по срокам на 30-50% (оценка) и высвобождение оборотных средств за счёт автозаказа — окупает подписку за месяц на одной точке.</t>
  </si>
  <si>
    <t>ближайшие игроки: 1С-франчайзи и локальные интеграторы, самописные решения крупных сетей, «Мой склад»-подобные универсальные системы | заменители: Excel, тетрадь, универсальная торговая программа | почему свободно: вертикальная специфика (партии, сроки, рецепты, маркировка) слишком узка для универсальных вендоров и слишком мала для глобальных фармвендоров.</t>
  </si>
  <si>
    <t>Marg ERP — Индия, отраслевая ERP для аптек и фармдистрибуции, более 1 млн пользователей; доказывает, что аптечный вертикальный SaaS в развивающейся стране масштабируется до сотен тысяч точек.</t>
  </si>
  <si>
    <t>С 01.01.2026 национальный GMP-сертификат ОБЯЗАТЕЛЕН для госрегистрации ЛС и продления регистрационных удостоверений, с 01.01.2027 — для сертификатов соответствия; АРФО компенсирует локальным производителям затраты на GMP — прослеживаемость партий из «хорошо бы» превращается в требование.</t>
  </si>
  <si>
    <t>Резидентство IT Park; работа с персональными данными пациентов при модуле рецептов (закон о персданных, локализация БД в РУз).</t>
  </si>
  <si>
    <t>Низкая готовность платить: аптека привыкла к разовой покупке коробочной программы, а не к подписке.</t>
  </si>
  <si>
    <t>IT-14</t>
  </si>
  <si>
    <t>B2B-маркетплейс стройматериалов с отсрочкой платежа</t>
  </si>
  <si>
    <t>IT (B2B-маркетплейс)</t>
  </si>
  <si>
    <t>Площадка, где прораб или подрядчик заказывает цемент, арматуру и отделку с доставкой на объект и отсрочкой платежа, а мы зарабатываем на марже и на финансировании.</t>
  </si>
  <si>
    <t>Подрядчики, застройщики средней руки, ремонтные бригады, частные застройщики домов.</t>
  </si>
  <si>
    <t>Валовая маржа 6-12% на товаре (оценка) + 2-3% в месяц за отсрочку; средний заказ $800-5 000.</t>
  </si>
  <si>
    <t>Стройка стоит из-за срыва поставки и предоплаты; подрядчик покупает на базаре по разным ценам, не имеет отсрочки и не может доказать банку целевое расходование — а с эскроу это становится обязательным.</t>
  </si>
  <si>
    <t>Каталог с реальными остатками поставщиков, фиксированная цена и срок доставки, кредитный лимит на подрядчика по данным его заказов, полный комплект документов для банка-эскроу-агента.</t>
  </si>
  <si>
    <t>Экономия 5-10% на закупке при консолидации (оценка) и доставка на объект в срок; отсрочка 30 дней закрывает кассовый разрыв между актом и оплатой.</t>
  </si>
  <si>
    <t>ближайшие игроки: строительные базары (Куйлюк и др.), оптовые базы, прямые продажи заводов (Кызылкумцемент и др.), Uzum как B2C | заменители: закупка на рынке за наличные, «свой» снабженец | почему свободно: категория капиталоёмкая и требует кредитного скоринга подрядчиков, чего у торговых баз нет.</t>
  </si>
  <si>
    <t>Infra.Market — Индия, B2B-платформа стройматериалов, статус юникорна, выручка более $1.5 млрд; выросла именно на связке «маркетплейс + товарный кредит подрядчику».</t>
  </si>
  <si>
    <t>Эскроу обязателен с 01.01.2026, застройщики переходят на банковское проектное финансирование, где каждая закупка должна быть документально подтверждена; параллельно 2.7 трлн сум ипотечных субсидий поддерживают объём стройки, а Минюст прямо предупреждает о росте себестоимости — значит спрос на экономию в закупке обострится.</t>
  </si>
  <si>
    <t>2-5 млн (оборотный капитал под товар и отсрочку доминирует над IT-затратами).</t>
  </si>
  <si>
    <t>Общий торговый режим; отсрочку структурировать как коммерческий кредит; при масштабировании финансирования — партнёрство с банком или лизинговой компанией вместо собственной кредитной лицензии.</t>
  </si>
  <si>
    <t>Кредитный риск подрядчиков, которые исторически банкротятся вместе с объектом.</t>
  </si>
  <si>
    <t>IT-15</t>
  </si>
  <si>
    <t>MSSP: SOC-as-a-Service и защита государственных и банковских систем</t>
  </si>
  <si>
    <t>IT (кибербезопасность и ЦОД)</t>
  </si>
  <si>
    <t>Коммерческий центр мониторинга безопасности, который круглосуточно следит за инфраструктурой банков, госорганов и корпораций по подписке, включая реагирование на инциденты и пентесты.</t>
  </si>
  <si>
    <t>Банки, госорганы и госкомпании, телеком, крупный ритейл и маркетплейсы, операторы ЦОД.</t>
  </si>
  <si>
    <t>Подписка $3-25 тыс./мес на клиента (оценка); пентест/аудит $8-40 тыс. разово; 30 клиентов = $2-5 млн ARR.</t>
  </si>
  <si>
    <t>Стратегия кибербезопасности требует от организаций мониторинга и управления инцидентами, но специалистов на рынке нет: собрать собственный SOC 24/7 — это 8-12 человек, которых просто негде взять.</t>
  </si>
  <si>
    <t>Один SOC на многих клиентов: SIEM/XDR как сервис, дежурные смены, playbook реагирования, регулярные пентесты и оценка соответствия; отдельная линия — аттестация облаков и ЦОД под требования госорганов.</t>
  </si>
  <si>
    <t>Стоимость подписки в 3-5 раз ниже собственного SOC (оценка), запуск за 4-6 недель вместо года; закрытие регуляторного требования документально.</t>
  </si>
  <si>
    <t>ближайшие игроки: государственный Центр кибербезопасности при Мининфокоме, российские вендоры (Positive Technologies, Лаборатория Касперского) и их партнёры, отдельные интеграторы | заменители: «антивирус и файрвол», собственный админ по совместительству | почему свободно: регуляторное требование новое (03.2026), а частный сектор к работе в этой сфере официально приглашается стратегией.</t>
  </si>
  <si>
    <t>Help AG — ОАЭ, ведущий региональный MSSP, куплен e&amp; (Etisalat), выручка порядка $100+ млн; Barikat (Турция) — публичная компания того же профиля.</t>
  </si>
  <si>
    <t>УП-38 от 10.03.2026 утвердил Стратегию кибербезопасности РУз на 2026-2030 (lex.uz/ru/docs/8079279): прямо предусмотрено ПРИВЛЕЧЕНИЕ ЧАСТНОГО СЕКТОРА к киберзащите, мониторингу и управлению инцидентами, оценке безопасности и подготовке кадров; с 01.04.2026 созданы подразделения кибербезопасности в Минюсте, Минэнерго и Налоговом комитете; вводятся требования к безопасности облаков и ЦОД для госорганов; в регионах со II квартала 2026 вводятся новые ЦОД (UzCloud).</t>
  </si>
  <si>
    <t>500 тыс. - 1.5 млн (лицензии SIEM, смены дежурных, сертификации команды).</t>
  </si>
  <si>
    <t>Лицензия/аккредитация на деятельность в сфере информационной безопасности, допуск к работам на объектах критической инфраструктуры, требования по локализации данных; при госконтрактах — режим госзакупок.</t>
  </si>
  <si>
    <t>Государственный центр кибербезопасности может замкнуть функцию на себя и оставить частникам только периферию.</t>
  </si>
  <si>
    <t>IT-16</t>
  </si>
  <si>
    <t>Платформа для трудовых мигрантов: работа, документы, язык, деньги</t>
  </si>
  <si>
    <t>IT (платформа для мигрантов)</t>
  </si>
  <si>
    <t>Приложение, которое ведёт узбекского работника от выбора страны и вакансии через язык, документы и легальный выезд до жизни на месте — переводы, связь, юридическая помощь — с монетизацией через работодателя и финансовые продукты.</t>
  </si>
  <si>
    <t>Зарубежные работодатели и лицензированные агентства занятости (плата за кандидата), партнёры-банки и телеком (комиссия за переводы и SIM), сам работник — за премиум-услуги.</t>
  </si>
  <si>
    <t>$600-2 500 за трудоустроенного (оценка) + комиссия 0.5-1% с денежных переводов; поток 5 тыс. трудоустройств/год = $4-10 млн (оценка).</t>
  </si>
  <si>
    <t>Поток в Россию падает (-13.2% г/г в 1П2026), а новые направления — Германия, Япония, Корея, Словакия — требуют языка, признания квалификации и документов, которых мигрант сам не соберёт; посредники берут месяцы зарплаты и часто обманывают.</t>
  </si>
  <si>
    <t>Маркетплейс верифицированных вакансий, чек-лист документов с онлайн-подачей, языковые микрокурсы, скоринг готовности кандидата, партнёрство с лицензированными агентствами занятости, а после выезда — переводы, страховка, юрподдержка.</t>
  </si>
  <si>
    <t>Легальный выезд без «серого» посредника, экономия 1-3 месячных зарплат на комиссиях (оценка), доступ к вакансиям на 1200-1600 евро (Словакия, VW) вместо российских ставок.</t>
  </si>
  <si>
    <t>ближайшие игроки: государственное Агентство внешней трудовой миграции и Ресурсный центр для мигрантов (Ташкент, с 08.2025), частные агентства занятости, Telegram-каналы с вакансиями | заменители: «свой человек» в бригаде за границей, самостоятельный выезд по туристической визе | почему свободно: с 01.01.2026 функция передана частным агентствам, но у них нет цифрового канала и продукта — они работают офлайн.</t>
  </si>
  <si>
    <t>Vahan.ai — Индия, платформа найма массовых (blue-collar) работников через мессенджер, Series B около $10 млн (Khosla Ventures), сотни тысяч трудоустройств; Bossjob (Филиппины) — тот же рынок с фокусом на выезд за рубеж.</t>
  </si>
  <si>
    <t>С 01.01.2026 организованный набор граждан для работы за рубежом передан ЧАСТНЫМ агентствам занятости; заявки на 100 тыс. работников поступили от других стран (Gazeta.uz, 21.04.2026); 48 соглашений с 23 государствами; с начала 2026 года 124.5 тыс. граждан трудоустроены за рубежом; Германии нужно 40 тыс. медсестёр, Японии — 15 тыс. работников.</t>
  </si>
  <si>
    <t>Лицензия частного агентства занятости на трудоустройство за рубежом (или партнёрство с держателем лицензии); работа с персональными данными; финансовые продукты — только через партнёрский банк/платёжную организацию.</t>
  </si>
  <si>
    <t>Обход платформы: работодатель и кандидат договариваются напрямую, а комиссия с трудоустройства не собирается.</t>
  </si>
  <si>
    <t>PRO-01</t>
  </si>
  <si>
    <t>GMP-подготовка фармпроизводств «под ключ»</t>
  </si>
  <si>
    <t>Профессиональные услуги для бизнеса (соответствие и сертификация)</t>
  </si>
  <si>
    <t>Инженерно-консалтинговая фирма, которая доводит узбекский фармзавод от текущего состояния до национального сертификата GMP: gap-аудит, переписывание фармацевтической системы качества, SOP на узбекском/русском, обучение персонала, mock-инспекция, сопровождение реальной инспекции и закрытие замечаний.</t>
  </si>
  <si>
    <t>локальные производители ЛС (по данным отрасли — порядка сотни площадок, «оценка»), производители медизделий, а также иностранные производители, которым нужен узбекский GMP для сохранения регистрационных удостоверений.</t>
  </si>
  <si>
    <t>проект «под ключ» $60–150 тыс. за площадку (оценка, ориентир по региональным ценам GMP-консалтинга), гэп-аудит как «входной билет» $6–12 тыс., ретейнер на поддержку системы качества $2–4 тыс./мес. после сертификации.</t>
  </si>
  <si>
    <t>С 01.01.2026 национальный GMP-сертификат ОБЯЗАТЕЛЕН для госрегистрации ЛС и продления регистрационных удостоверений (кроме прошедших преквалификацию ВОЗ), а с 01.01.2027 — для выдачи сертификатов соответствия. Для завода без GMP это не «штраф», а потеря права продавать: снятие продукции с рынка и вылет из госзакупок. Цена терпения = вся выручка по незарегистрированной номенклатуре.</t>
  </si>
  <si>
    <t>Три модуля. (1) Диагностика: аудит по чек-листу национального GMP + PIC/S-логике, отчёт с классификацией отклонений (critical/major/other) и бюджетом устранения. (2) Ремедиация: пишем и внедряем ФСК — валидационный мастер-план, SOP, batch records, систему отклонений/CAPA/change control, программу обучения. Ключевая деталь: инспекторы — граждане РУз и читают документы только на узбекском/русском, поэтому вся документация создаётся сразу на госязыке, а не переводится с английских шаблонов «материнской» компании. (3) Инспекционная поддержка: mock-инспекция, тренинг «как вести себя на аудите», ответы на замечания в срок.</t>
  </si>
  <si>
    <t>Проект $60–150 тыс. против риска потери регистрации всего портфеля. Для завода с выручкой $10–20 млн (оценка) потеря 1 года продаж по ключевой номенклатуре кратно дороже консалтинга. Дополнительно: АРФО компенсирует локальным производителям затраты на получение GMP — то есть часть чека клиенту фактически возвращается государством, что резко снижает сопротивление цене.</t>
  </si>
  <si>
    <t>ближайшие игроки — ГУП «Центр надлежащих практик» (uzpharm-gxp.uz, он же регулятор/держатель реестров и «консультативная помощь» — конфликт интересов, поэтому полноценно ремедиацией заниматься не может), Clean Room Systems (cleanroom.uz — заходит со стороны чистых помещений и публикует чек-листы под 2027), Iman Consult (imanconsult.uz — GDP/ФСК), российские и индийские консультанты наездами | заменители — «делаем сами силами начальника ОТК», покупка шаблонов SOP, наём одного QA-менеджера из России | почему свободно: требование стало обязательным буквально в этом году, компетенция «GMP-инженер + технический писатель на узбекском» в стране почти не воспроизведена, а Big4 в такие проекты не идут — это не аудит отчётности, а работа в цеху.</t>
  </si>
  <si>
    <t>PharmaLex (Германия) — консалтинг по GMP/регуляторике, вырос до международной сети и в 2023 куплен Cencora/AmerisourceBergen примерно за €1.28 млрд (сумма по сообщениям деловых СМИ, отдельно не перепроверялась — «оценка»). На сопоставимом рынке: пересмотр Schedule M в Индии (2023–2024) создал целую индустрию GMP-консультантов для малых и средних производителей (QxP, Zenovel, Tracc Global) — та же механика «регулятор ужесточил правило → появился рынок ремедиации».</t>
  </si>
  <si>
    <t>с 01.01.2026 нацсертификат GMP обязателен для госрегистрации и продления РУ; с 01.01.2027 — для сертификатов соответствия; АРФО компенсирует затраты локальным производителям. Дорожная карта отрасли УП-55 от 21.01.2022 покрывает 2022–2026, то есть готовится следующая — окно на 2 года минимум. Отраслевые консультанты открыто пишут: у предприятий, не начавших подготовку до конца 2026, шансы пройти сертификацию поэтапно минимальны.</t>
  </si>
  <si>
    <t>$60–120 тыс. — ядро из 3–5 человек (QA/QP-профиль, инженер по валидации, технический писатель), лицензии на софт для документооборота, оборотка на 6–9 месяцев цикла продаж.</t>
  </si>
  <si>
    <t>сам консалтинг лицензирования не требует («не подтверждено» наличие спецлицензии на GMP-консалтинг); критично не совмещать консалтинг с функциями органа по сертификации, чтобы не получить конфликт интересов.</t>
  </si>
  <si>
    <t>сдвиг сроков. Если регулятор даст отсрочку по GMP (как это делалось в других юрисдикциях), пик спроса размажется, и придётся жить на ретейнерах.</t>
  </si>
  <si>
    <t>PRO-02</t>
  </si>
  <si>
    <t>Валидация, квалификация и холодовая цепь как инженерный сервис (GDP/GSP)</t>
  </si>
  <si>
    <t>Профессиональные услуги для бизнеса (техническое соответствие)</t>
  </si>
  <si>
    <t>Сервисная компания с собственным парком калиброванных датчиков и логгеров, которая делает температурное картирование складов и рефрижераторов, квалификацию IQ/OQ/PQ оборудования и валидацию процессов для фармдистрибуции, пищевых производств и биобанков.</t>
  </si>
  <si>
    <t>фармдистрибьюторы и аптечные сети, склады 3PL, производители продуктов питания, вакцинные и лабораторные операторы, производители медизделий.</t>
  </si>
  <si>
    <t>картирование одного склада $3–8 тыс. (оценка), квалификация технологической линии $10–25 тыс., годовой контракт на реквалификацию и калибровку $12–30 тыс./год; отдельная линия — аренда логгеров с отчётом.</t>
  </si>
  <si>
    <t>Из ~600 локальных предприятий оптовой продажи фармпродукции требования GDP внедрили только 117. Остальные ~480 — прямая адресуемая база, и у большинства нет ни приборов, ни методики, чтобы доказать соблюдение температурного режима. Сейчас «доказательство» — это бумажный журнал с записями от руки, который не выдерживает ни одной серьёзной проверки и не принимается иностранным принципалом.</t>
  </si>
  <si>
    <t>Продаём не консультацию, а измеримый артефакт: протокол картирования по признанной методике, карта «горячих/холодных точек», обоснованное размещение датчиков, отчёт с подписью инженера и сертификатами калибровки. Дальше — подписка: ежегодная реквалификация, калибровка клиентских датчиков, дежурство по отклонениям. Второй контур — обучение ответственного лица клиента (в GDP это обязательная роль).</t>
  </si>
  <si>
    <t>Картирование за $3–8 тыс. против стоимости одной списанной партии термолабильного препарата (десятки тысяч долларов, «оценка») и против риска отказа иностранного производителя работать с дистрибьютором без валидированной холодовой цепи. Для дистрибьютора, который хочет получить контракт от западного фармпроизводителя, это условие входа, а не улучшение.</t>
  </si>
  <si>
    <t>ближайшие игроки — Iman Consult (разработка и внедрение GDP), Clean Room Systems (чистые помещения, смежная компетенция), поставщики холодильного оборудования, которые «в нагрузку» дают формальный акт; АРФО проводит аудиты на соответствие GDP/GSP/GCP/GPP, но как регулятор, а не как подрядчик | заменители — покупка китайских логгеров и самостоятельное ведение журнала, приглашение специалиста из России на разовый выезд | почему свободно: нужен капитал в приборы и метрологическая дисциплина (прослеживаемость калибровок), это не консалтинговый, а сервисно-инженерный бизнес — Big4 туда не идут по определению, а локальные консультанты не хотят вкладываться в железо.</t>
  </si>
  <si>
    <t>Ellab (Дания) — компания температурной валидации и мониторинга, через серию поглощений валидационных сервис-провайдеров выросла в международного игрока под управлением PE-фонда (детали сделок — «не подтверждено»); модель «приборы + сервис + подписка» повторена десятками локальных игроков в Индии и Турции под давлением GDP/GMP.</t>
  </si>
  <si>
    <t>внедрение стандарта O'zDSt 2764 «Надлежащая дистрибьюторская практика — GDP»; по данным отраслевого источника из ~600 оптовиков требования GDP внедрили 117 предприятий. Плюс сцепка с PRO-01: GMP-сертификация с 2026–2027 автоматически тянет за собой требования к валидации и метрологии на площадке.</t>
  </si>
  <si>
    <t>$80–150 тыс. — парк логгеров и эталонов, поверка, фургон, 3–4 инженера, ПО для обработки данных.</t>
  </si>
  <si>
    <t>для оказания метрологических услуг с выдачей признаваемых результатов нужна аккредитация калибровочной/испытательной лаборатории (профиль ISO/IEC 17025) через Узбекский центр аккредитации; на первом этапе можно работать с приборами, поверенными у аккредитованного третьего лица.</t>
  </si>
  <si>
    <t>покупатель может решить, что «достаточно бумаги», пока регулятор не начал реально проверять валидационные досье у дистрибьюторов.</t>
  </si>
  <si>
    <t>PRO-03</t>
  </si>
  <si>
    <t>Регуляторный агент: регистрация ЛС и медизделий как аутсорс (RA-as-a-Service)</t>
  </si>
  <si>
    <t>Профессиональные услуги для бизнеса (регуляторика)</t>
  </si>
  <si>
    <t>Бюро, которое для иностранных фармпроизводителей выступает локальным регуляторным представителем в РУз: собирает и подаёт досье, ведёт диалог с Госцентром экспертизы, держит регистрационные удостоверения «живыми» и управляет изменениями и фармаконадзором.</t>
  </si>
  <si>
    <t>иностранные производители ЛС и медизделий (индийские, турецкие, китайские, иранские, европейские дженериковые компании), которым нужен вход в РУз, но не нужен собственный офис; локальные импортёры и дистрибьюторы.</t>
  </si>
  <si>
    <t>регистрация одного препарата $8–20 тыс. (оценка, без учёта госпошлин и испытаний), поддержание РУ и вариации $2–5 тыс./год за SKU, ретейнер за роль локального представителя $1.5–4 тыс./мес. на клиента. Экономика строится на портфеле SKU: один клиент с 20 позициями — это годовой поток, а не разовая сделка.</t>
  </si>
  <si>
    <t>Регистрационное досье в РУз подаётся в национальном формате из 4 модулей, построенном на основе CTD, есть стандартная и упрощённая (признание) процедуры. Иностранному производителю нужно: досье на нужном языке, локальные испытания, переписка с ГУП «Государственный центр экспертизы и стандартизации ЛС, изделий медицинского назначения и медтехники», плюс с 01.01.2026 — вопрос GMP-сертификата для продления РУ. Сделать это дистанционно почти невозможно; сделать через дистрибьютора опасно — РУ фактически оказывается в заложниках у контрагента.</t>
  </si>
  <si>
    <t>Продаём не «услугу перевода», а владение сроками. Ядро продукта: (1) регуляторный gap-анализ досье под узбекские 4 модуля до подачи; (2) подача и ведение — один менеджер на клиента, регламент ответа на запросы экспертизы; (3) кабинет клиента с трекингом статуса каждого SKU, дедлайнов продления и вариаций (сейчас это ведётся в Excel и теряется); (4) отдельный продукт — «развод» РУ с дистрибьютором: держатель РУ — сам производитель или его агент, а не импортёр, что даёт производителю свободу менять дистрибьютора. Последнее продаётся само.</t>
  </si>
  <si>
    <t>$8–20 тыс. и 12–18 месяцев против невозможности продавать вообще. Ключевая цифра для клиента: перенос РУ с дистрибьютора на независимого агента возвращает производителю переговорную позицию по цене поставки — это единицы процентов маржи на весь оборот в стране, что кратно перекрывает ретейнер.</t>
  </si>
  <si>
    <t>ближайшие игроки — MedExpert Group (РФ, делает регистрацию в РУз), Cratia (Украина, покрывает Узбекистан), Supralabs.uz, VitaConsult (vitaconsult.uz) — то есть ниша занята, но фрагментирована и в основном обслуживается «наездами» из-за рубежа | заменители — регистрация через собственного дистрибьютора (конфликт интересов), найм одного local RA-менеджера в штат | почему свободно: место не пустое, но незанят конкретный сегмент — независимый держатель РУ с сервисным уровнем (SLA, трекинг, фармаконадзор) вместо «регистратора по знакомству»; Big4 регуляторикой ЛС не занимаются вообще.</t>
  </si>
  <si>
    <t>Freyr Solutions (Индия) — аутсорсинг регуляторных функций для фармы, выросла до нескольких тысяч сотрудников и глобального покрытия, привлекала капитал у институциональных инвесторов (конкретные суммы — «оценка»). На постсоветском контуре — Cratia (Украина), построившая практику регистрации в странах СНГ, включая РУз.</t>
  </si>
  <si>
    <t>(а) с 01.01.2026 GMP-сертификат обязателен для госрегистрации и продления РУ — это разово выбрасывает на рынок сотни досье, требующих переоформления; (б) с 01.01.2027 GMP нужен для сертификатов соответствия; (в) действует упрощённая процедура признания с октября 2018, что делает вход дешевле и увеличивает число претендентов на регистрацию.</t>
  </si>
  <si>
    <t>$40–80 тыс. — 3–4 регуляторных специалиста, юрист, простая CRM/трекер, оборотка на длинный цикл (деньги от клиента приходят траншами по вехам).</t>
  </si>
  <si>
    <t>деятельность «уполномоченного представителя» регулируется правилами обращения ЛС; необходима система фармаконадзора (ответственное лицо, SOP). Точный перечень требований к локальному представителю — «не подтверждено», требует проверки в действующей редакции правил.</t>
  </si>
  <si>
    <t>зависимость от одного госоргана: смена процедур или персонала в Госцентре экспертизы напрямую бьёт по срокам, за которые вы продали ответственность.</t>
  </si>
  <si>
    <t>PRO-04</t>
  </si>
  <si>
    <t>Халяль-соответствие под SMIIC/JAKIM для экспортёров</t>
  </si>
  <si>
    <t>Профессиональные услуги для бизнеса (сертификация)</t>
  </si>
  <si>
    <t>Консалтинг, который выстраивает на предприятии систему управления халяль (сырьё, прослеживаемость, раздельные линии, обучение) и доводит клиента до сертификата, признаваемого в Малайзии, Индонезии, Турции и странах Залива.</t>
  </si>
  <si>
    <t>мясопереработка и птицеводство, кондитерка, молочка, производители пищевых добавок и желатина, косметика, фармацевтика (капсулы!), а также кейтеринг и гостиницы под халяль-туризм.</t>
  </si>
  <si>
    <t>подготовка к сертификации $8–25 тыс. на площадку (оценка), поддержание системы и внутренние аудиты $500–1500/мес., обучение «халяль-ответственных» — групповые курсы $200–400 с человека.</t>
  </si>
  <si>
    <t>Экспортёру, который хочет войти в Малайзию, Индонезию или ОАЭ, нужен не «любой халяль», а сертификат от органа, признанного JAKIM/MUIS/ESMA. Узбекский производитель сейчас чаще всего имеет либо ничего, либо бумажку от местной религиозной организации, которая за рубежом не котируется. Цена терпения — закрытая дверь на рынок с платёжеспособным мусульманским спросом; Индонезия одна — это ~280 млн человек с обязательной халяль-маркировкой пищевых продуктов.</t>
  </si>
  <si>
    <t>Работаем на стыке техрегулирования и шариата: (1) аудит сырья и ингредиентов (эмульгаторы, ферменты, желатин, спиртосодержащие ароматизаторы — 80% провалов именно тут); (2) внедрение системы халяль-обеспечения по OIC/SMIIC 1 и 2 поверх существующего HACCP/ISO 22000, чтобы клиент не строил вторую систему с нуля; (3) обучение и назначение внутреннего халяль-комитета; (4) сопровождение аудита органа по сертификации (в РУз это теперь UzTest) и — отдельный премиальный продукт — сопровождение признания сертификата зарубежным регулятором.</t>
  </si>
  <si>
    <t>$8–25 тыс. и 3–6 месяцев против доступа к экспортным контрактам. Практический аргумент для клиента: халяль-сертификация обычно подтягивает пищевую безопасность (прослеживаемость, разделение потоков), то есть один проект закрывает сразу два требования покупателя — халяль и food safety.</t>
  </si>
  <si>
    <t>ближайшие игроки — UzTest (Узбекский научно-испытательный центр качества) как первый в стране официальный орган по халяль-сертификации, аккредитованный Halal Accreditation Authority (HAA) Турции по OIC/SMIIC 2:2019 — он СЕРТИФИЦИРУЕТ, а не КОНСУЛЬТИРУЕТ (и не может консультировать без конфликта интересов); международные консалтинговые бренды-агрегаторы (Certvalue, Factocert, Certease) продают халяль в РУз онлайн, но это лидогенераторы без полевой команды | заменители — сертификат местной религиозной структуры, отказ от экспорта в пользу СНГ | почему свободно: орган по сертификации появился только что, спрос на «того, кто подготовит» ещё не оформился, а конфликт интересов не даёт органу занять обе роли.</t>
  </si>
  <si>
    <t>Индонезия — с 17.10.2024 халяль-сертификация пищевых продуктов стала обязательной, что породило целую индустрию LPH (Lembaga Pemeriksa Halal) и халяль-консультантов вокруг BPJPH; исторический эталон — LPPOM MUI. Малайзия: экосистема вокруг JAKIM и Halal Development Corporation, где консалтинг под халяль стал самостоятельным сегментом услуг (объёмные цифры — «оценка»).</t>
  </si>
  <si>
    <t>Постановление Кабинета Министров № 57 от 01.02.2025 — продукция, сертифицированная по международным стандартам, может нести знак «Halal» с 01.05.2025; UzTest получил аккредитацию HAA (Турция) по OIC/SMIIC 2:2019 и стал первым в стране официальным органом халяль-сертификации; идёт работа с Малайзией о включении узбекского органа в реестр JAKIM. Сертификация добровольная — значит это чистый экспортный инструмент, а не налог.</t>
  </si>
  <si>
    <t>$25–50 тыс. — 2–3 консультанта (пищевой технолог + специалист по системам менеджмента + человек с шариатской экспертизой), методология, поездки на площадки.</t>
  </si>
  <si>
    <t>консалтинг — без лицензии; строгий запрет совмещать с функцией органа по сертификации; при выходе в фармацевтику — пересечение с GMP.</t>
  </si>
  <si>
    <t>если признание узбекского сертификата в JAKIM/Индонезии затянется, клиенты продолжат покупать сертификаты в Турции напрямую, минуя локальный контур.</t>
  </si>
  <si>
    <t>PRO-05</t>
  </si>
  <si>
    <t>Экспортный пакет соответствия для текстиля и агро (BSCI / SEDEX / OEKO-TEX / GlobalG.A.P.)</t>
  </si>
  <si>
    <t>Профессиональные услуги для бизнеса (соответствие цепочек поставок)</t>
  </si>
  <si>
    <t>Фирма, которая готовит узбекские фабрики и агрохозяйства к социальным и экологическим аудитам европейских закупщиков — от предаудита и ремедиации до сопровождения самого аудита и удержания рейтинга.</t>
  </si>
  <si>
    <t>текстильные и швейные предприятия (Узтекстильпром — крупнейший экспортный кластер), производители сухофруктов и плодоовощной продукции, их торговые дома, а также европейские байеры, оплачивающие развитие поставщика.</t>
  </si>
  <si>
    <t>предаудит $2–4 тыс., программа ремедиации (CAP) $10–25 тыс. на фабрику (оценка), годовое сопровождение $800–2000/мес., обучение линейных руководителей — отдельный поток.</t>
  </si>
  <si>
    <t>Барьер для узбекского экспорта в ЕС — не пошлины (GSP+ дал беспошлинный доступ к более чем 6200 товарным линиям с 2021 года), а слабая инфраструктура стандартов, разрывы в сертификации и административные узкие места. Европейский байер не подпишет объём без BSCI/SEDEX-аудита и OEKO-TEX на материал. При этом соглашение GSP+ истекает в 2027 — то есть у отрасли остаётся короткое окно превратить преференцию в реальные контракты.</t>
  </si>
  <si>
    <t>Не «выдаём сертификат», а чиним фабрику под чек-лист. Механика: (1) предаудит по коду amfori BSCI (13 принципов) и SMETA-протоколу с фотофиксацией; (2) корректирующий план: рабочее время и переработки, расчёт зарплат, охрана труда, пожарная безопасность, механизм жалоб, отсутствие детского/принудительного труда в документах; (3) обучение среднего звена — именно мастера участка, а не HR, проваливают аудит; (4) подготовка досье к OEKO-TEX STANDARD 100 (химия, красители, поставщики) и, для агро, к GlobalG.A.P.; (5) поддержка на самом аудите и апелляции.</t>
  </si>
  <si>
    <t>$10–25 тыс. против доступа к европейскому контракту, где разница в цене «сертифицированный vs несертифицированный поставщик» составляет двузначные проценты (оценка). У отрасли есть публичные целевые цифры на 2026: 300 компаний с OEKO-TEX (было 56 в 2021), 50 с BSCI (было 10), 40 с SEDEX (было 8) — то есть заказчик уже назвал себе KPI, под которые нужен подрядчик.</t>
  </si>
  <si>
    <t>ближайшие игроки — Textile Standard Services (uztss.uz, отраслевая структура по внедрению международных стандартов), международные аудиторы Bureau Veritas / SGS / Intertek / TÜV (они проводят АУДИТ и по правилам amfori не могут одновременно консультировать эту же фабрику) | заменители — «подготовимся сами по чек-листу из интернета», разовый найм консультанта из Турции, попытка договориться с аудитором | почему свободно: разделение ролей аудитора и консультанта — жёсткое правило схем BSCI/SEDEX, поэтому крупные инспекционные компании структурно не могут занять эту нишу, а локальной консалтинговой экспертизы по социальному аудиту почти нет.</t>
  </si>
  <si>
    <t>QIMA (основана в Китае, 2005) — построила бизнес на инспекциях и аудитах цепочек поставок для западных брендов, выросла в компанию с тысячами сотрудников и международным покрытием (конкретные финансовые показатели — «оценка»). Бангладеш после 2013 года: соглашение Accord/Alliance породило отдельную индустрию консультантов по ремедиации фабрик (пожарная и строительная безопасность) — точная копия механики «требование байера → рынок подготовки поставщика».</t>
  </si>
  <si>
    <t>GSP+ с 2021 (беспошлинный доступ по 6200+ линиям), истечение действующего соглашения в 2027 и мониторинговые миссии ЕС; отраслевые целевые показатели по сертификации на 2026 (OEKO-TEX 300, BSCI 50, SEDEX 40); уже есть прецеденты — Bakan Tex и FT Textile Group получили BSCI с высшей категорией «B» по всем 13 принципам.</t>
  </si>
  <si>
    <t>$30–60 тыс. — 3–4 аудитора с подготовкой по amfori/SMETA, транспорт, методология, обучение команды за рубежом.</t>
  </si>
  <si>
    <t>лицензия не нужна; критично не быть аффилированным с аккредитованным аудитором, иначе фабрике аннулируют результат.</t>
  </si>
  <si>
    <t>непродление или ужесточение GSP+ после 2027 может как усилить спрос, так и обвалить его, если экспортёры переориентируются на Россию и Китай, где такие аудиты не требуются.</t>
  </si>
  <si>
    <t>PRO-06</t>
  </si>
  <si>
    <t>Нишевая аккредитованная испытательная лаборатория (ISO/IEC 17025)</t>
  </si>
  <si>
    <t>Профессиональные услуги для бизнеса (лабораторные испытания)</t>
  </si>
  <si>
    <t>Частная независимая лаборатория, аккредитованная по ISO/IEC 17025 в узком высокомаржинальном сегменте (например, остаточные пестициды и микотоксины в агроэкспорте либо химия текстиля и упаковки), выдающая протоколы, принимаемые и узбекскими органами по сертификации, и иностранными покупателями.</t>
  </si>
  <si>
    <t>экспортёры плодоовощной продукции и сухофруктов, текстильные фабрики (под OEKO-TEX), пищевые производители, органы по сертификации, торговые сети, таможенные брокеры.</t>
  </si>
  <si>
    <t>испытание партии $150–600 (оценка), абонемент для экспортёра $1–3 тыс./мес., срочные испытания с наценкой 50–100%, плюс «доход второго порядка» — подготовка к аккредитации чужих заводских лабораторий.</t>
  </si>
  <si>
    <t>Для сертификации продукции нужны протоколы испытаний аккредитованных лабораторий; при этом реальная боль экспортёра другая — партия, отгруженная в ЕС или ОАЭ, разворачивается на границе из-за превышения по пестицидам/микотоксинам, потому что дома её проверяли по устаревшему перечню и на менее чувствительном оборудовании. Стоимость одного разворота фуры или контейнера — десятки тысяч долларов плюс потеря покупателя (оценка).</t>
  </si>
  <si>
    <t>Строим лабораторию не «на всё», а на 20–40 методик, которые (а) требуются европейским/гульфским покупателем, (б) реально проваливаются, (в) дают высокую цену за анализ. Оборудование: ЖХ-МС/МС и ГХ-МС/МС как ядро. Продукт — не просто протокол, а «экспортное заключение»: проверка по регламентам страны назначения (максимально допустимые уровни в ЕС отличаются от узбекских), рекомендации агроному, повторный контроль. Второй продукт — межлабораторные сличения и помощь заводским лабораториям в получении аккредитации.</t>
  </si>
  <si>
    <t>$150–600 за анализ против $20–60 тыс. потери на развороте партии. Для экспортёра, отгружающего 100 партий в сезон, это меньше 1% выручки за страховку от катастрофы, плюс возможность продавать в премиальный канал.</t>
  </si>
  <si>
    <t>ближайшие игроки — государственные и отраслевые лаборатории в системе «Стандарт»/UzTest, лаборатории органов по сертификации (SIFAT KAFOLATI и др.), заводские лаборатории; международные SGS/Bureau Veritas/Intertek берут узбекские пробы, но часто отправляют их за рубеж, что даёт длинный срок | заменители — отправка проб в лабораторию в Турции/ОАЭ/Литве (дорого и 2–3 недели), доверие протоколу покупателя | почему свободно: капиталоёмкость и длинный путь аккредитации отпугивают локальных предпринимателей, а глобальным сетям узбекский объём пока мал, чтобы разворачивать полноценный масс-спектрометрический парк на месте.</t>
  </si>
  <si>
    <t>SGS, Bureau Veritas, Intertek — глобально построили многомиллиардные бизнесы на TIC-модели (testing, inspection, certification); на сопоставимом рынке — рост частных агролабораторий в Турции и Индии под требования ЕС по остаточным пестицидам, где частные лаборатории отобрали значимую долю у государственных (конкретные доли — «оценка»).</t>
  </si>
  <si>
    <t>(а) курс на ВТО: отменены 14 техрегламентов на пищевую продукцию, снято требование обязательной сертификации по 747 товарным позициям, перечень сокращён на 27% — обязательная сертификация схлопывается, но ДОБРОВОЛЬНЫЕ испытания под требования покупателя растут; (б) GSP+ и цели по OEKO-TEX (см. PRO-05) требуют химических испытаний текстиля; (в) реестр аккредитованных лиц ведёт Узбекский центр аккредитации (akkred.uz) — путь формализован.</t>
  </si>
  <si>
    <t>$400 тыс. – $1.2 млн — это самая капиталоёмкая идея арены: масс-спектрометрия, пробоподготовка, помещение с вентиляцией, стандартные образцы, аккредитация, 2 года на выход в прибыль (оценка).</t>
  </si>
  <si>
    <t>аккредитация по O'z DSt ISO/IEC 17025 через Узбекский центр аккредитации; для признания протоколов за рубежом желательна аккредитация зарубежным органом-подписантом ILAC MRA — это отдельный проект.</t>
  </si>
  <si>
    <t>ценовая война с государственными лабораториями, у которых нет требования окупать капитал; защита — только скорость и признание протокола покупателем.</t>
  </si>
  <si>
    <t>PRO-07</t>
  </si>
  <si>
    <t>Международная торговая практика под ВТО: таможенная стоимость, происхождение, антидемпинг</t>
  </si>
  <si>
    <t>Профессиональные услуги для бизнеса (торговое и таможенное право)</t>
  </si>
  <si>
    <t>Бутик из бывших таможенников и юристов, который спорит за клиента о таможенной стоимости и коде ТН ВЭД, возвращает переплаченные платежи и ведёт дела по антидемпингу и техбарьерам — на гонораре от результата.</t>
  </si>
  <si>
    <t>импортёры оборудования и сырья, автодилеры, фармдистрибьюторы, крупные ритейлеры, экспортёры металлов и химии (защита от расследований за рубежом), локальные производители (инициирование защитных мер).</t>
  </si>
  <si>
    <t>success fee 15–25% от возвращённой/сэкономленной суммы платежей (оценка), фикс за таможенный аудит клиента $5–15 тыс., ведение антидемпингового дела $50–200 тыс. за кейс (оценка, международный ориентир), ретейнер на классификацию нового ассортимента $1.5–5 тыс./мес.</t>
  </si>
  <si>
    <t>Импортёр в РУз системно переплачивает: таможня корректирует стоимость «по справочным ценам», спорный код меняет ставку в разы, а сертификат происхождения оформляется формально, из-за чего теряются преференции. Оспорить это внутри страны дорого и страшно — испортишь отношения с таможней. При вступлении в ВТО эта картина ломается: Соглашение по таможенной оценке ВТО прямо ограничивает произвольные «справочные цены», а значит появляется правовое основание для массового пересмотра.</t>
  </si>
  <si>
    <t>Три продукта. (1) «Таможенный аудит»: подъём деклараций за период глубины проверки, выявление переплат по стоимости, коду и преференциям, подача на возврат — оплата только от возвращённого. (2) «Классификационное заключение» и предварительные решения по коду для нового ассортимента — превентивно и дёшево. (3) Trade remedies: представление узбекских экспортёров в антидемпинговых расследованиях за рубежом (Россия/ЕАЭС, ЕС, Индия — типичные инициаторы по химии, металлам, стеклу) и, зеркально, инициирование защитных мер в интересах локальных производителей по Закону № 554-II от 11.12.2003 «О защитных мерах, антидемпинговых и компенсационных пошлинах».</t>
  </si>
  <si>
    <t>Клиент платит только из возвращённых денег. Для импортёра с $30 млн импорта в год ошибка в 1.5 п.п. эффективной ставки — это ~$450 тыс./год (оценка); гонорар в 20% от возврата экономически невидим. Для экспортёра, попавшего под антидемпинг, разница между «не участвовать» и «участвовать» — это ставка пошлины 40–70% по остаточной группе против индивидуальной ставки, которая может быть в разы ниже.</t>
  </si>
  <si>
    <t>ближайшие игроки — таможенные и налоговые практики Big4 в Ташкенте (PwC, Deloitte, KPMG, EY — фокус на консультировании крупных групп, не на возвратах по success fee), юрфирмы Band 1 (Dentons, GRATA, CENTIL, Kosta Legal — сильны в корпоративном и финансовом, таможенные споры не их профиль), таможенные брокеры (оформляют, но не спорят — и не могут, они зависят от таможни) | заменители — «договориться на месте», принять корректировку и заложить в цену, судиться самому | почему свободно: модель «оплата от результата» культурно чужда и Big4 (комплаенс и риск), и брокерам (конфликт), а специалистов, одновременно понимающих Соглашение ВТО по оценке и практику узбекской таможни, единицы.</t>
  </si>
  <si>
    <t>Lakshmikumaran &amp; Sridharan (Индия) — фирма, выросшая из таможенно-налоговой практики (основана бывшими сотрудниками индийской таможенной службы) до одной из крупнейших юридических фирм страны с сотнями юристов и лидирующей практикой по антидемпингу и торговым спорам (численность — «оценка»). Механика полностью переносима: реформа торгового режима + новый правовой стандарт = долгоживущий рынок споров.</t>
  </si>
  <si>
    <t>курс на полноценное членство в ВТО в 2026 году (поручения президента, май 2026); планируется принять 29 новых законодательных актов, включая техрегламенты и экспортные пошлины; отменены экспортные ограничения и введены экспортные пошлины с прозрачным механизмом; приоритеты 2026 — завершение двусторонних переговоров и приведение законодательства в соответствие с правилами ВТО. Каждый из этих актов — это новый предмет спора.</t>
  </si>
  <si>
    <t>$50–100 тыс. — 2 юриста + 2 экс-таможенника, доступ к базам ТН ВЭД и практике, 12 месяцев на первый успешный кейс-витрину.</t>
  </si>
  <si>
    <t>представительство в суде требует адвокатского статуса для части действий; конфликт интересов и «правило вращающейся двери» для бывших госслужащих — «не подтверждено», требует проверки сроков охлаждения.</t>
  </si>
  <si>
    <t>административное давление: первое громкое дело против таможни может стоить отношений со всем госсектором — репутационная и регуляторная уязвимость выше, чем в любой другой идее арены.</t>
  </si>
  <si>
    <t>PRO-08</t>
  </si>
  <si>
    <t>CBAM-бюро: расчёт и верификация встроенных выбросов для экспортёров в ЕС</t>
  </si>
  <si>
    <t>Профессиональные услуги для бизнеса (углеродная отчётность)</t>
  </si>
  <si>
    <t>Специализированная фирма, которая считает встроенные выбросы узбекской продукции (сталь, алюминий, удобрения, цемент, водород) по методике Еврокомиссии, готовит данные в формате, который принимает европейский импортёр, и сопровождает верификацию.</t>
  </si>
  <si>
    <t>узбекские экспортёры товаров, попадающих под CBAM (металлургия, химия/удобрения, цемент), их европейские покупатели и трейдеры, а также банки, финансирующие эти предприятия.</t>
  </si>
  <si>
    <t>первичный расчёт по площадке $25–60 тыс. (оценка), годовое сопровождение и обновление данных $15–30 тыс./год, настройка системы сбора данных (MRV) $30–80 тыс., обучение персонала клиента — отдельно.</t>
  </si>
  <si>
    <t>CBAM вошёл в операционную фазу 01.01.2026: квартальная отчётность заменена единой годовой декларацией, импортёры, ввозящие от 50 тонн покрываемых товаров в год, обязаны декларировать встроенные выбросы и в сентябре следующего года сдавать соответствующее число CBAM-сертификатов. Большинство новых дефолтных значений в 2026 году повышены на 10% — специально, чтобы отбить желание пользоваться дефолтами. Для узбекского завода это означает: либо ты даёшь покупателю ФАКТИЧЕСКИЕ данные о выбросах, либо твой товар считается по штрафному дефолту, и покупатель либо перекладывает разницу в цену, либо уходит к тому, кто данные даёт.</t>
  </si>
  <si>
    <t>Продукт — «углеродный паспорт партии». Механика: (1) построение границ установки и потоков (installation boundaries) по методике CBAM; (2) сбор первичных данных: расход топлива, электроэнергии, прекурсоров, производственные данные по каждому производственному процессу; (3) расчёт прямых и косвенных встроенных выбросов на тонну продукции; (4) выгрузка в формате коммуникационного шаблона Еврокомиссии, чтобы импортёр мог просто загрузить файл; (5) подготовка к проверке аккредитованным верификатором и сопровождение. Отдельный апсейл — сценарный расчёт: «что даст замена такого-то узла» в тоннах CO2 и в евро CBAM-сертификатов.</t>
  </si>
  <si>
    <t>$25–60 тыс. против разницы между фактическими и дефолтными выбросами, умноженной на цену CBAM-сертификата и на объём экспорта. Для среднего экспортёра металла с несколькими десятками тысяч тонн поставок в ЕС это разница в сотни тысяч евро в год (оценка) — то есть проект окупается на первой годовой декларации. Вторичная выгода: те же данные нужны банкам развития и покупателям для scope-3 отчётности, то есть одна работа продаётся трижды.</t>
  </si>
  <si>
    <t>ближайшие игроки — Deloitte и KPMG имеют глобальные CBAM-предложения (в Нидерландах, Сербии и т.д.), но выделенной узбекской CBAM-практики «не подтверждено»; международные верификаторы (TÜV, DNV, Bureau Veritas) — это ВЕРИФИКАТОРЫ, они по правилам не могут одновременно считать и проверять; профильные ESG-консультанты в РУз — единичны | заменители — «пусть европейский покупатель считает сам по дефолтам», игнорирование до первого требования байера | почему свободно: домен требует одновременно инженера-технолога, знающего печь, и юриста, читающего регламент ЕС; таких людей в стране почти нет, а Big4 такие проекты в Ташкенте пока не продают.</t>
  </si>
  <si>
    <t>CarbonChain (Великобритания) — стартап, построивший бизнес на расчёте углеродного следа металлов и сырьевых товаров для трейдеров и банков, привлекал венчурный капитал (сумма раунда — «оценка»). На сопоставимом рынке: Escarus (TSKB Sustainability Consultancy, Турция) — консалтинговая «дочка» банка, выстроившая практику подготовки турецких экспортёров к CBAM. Турция здесь — ближайший работающий прецедент: тот же профиль экспорта в ЕС и та же нехватка локальной MRV-компетенции.</t>
  </si>
  <si>
    <t>CBAM вошёл в операционную фазу с 01.01.2026; порог — 50 тонн покрываемых товаров в год на импортёра; дефолтные значения повышены на 10% в 2026; Еврокомиссия выпустила 10 руководств по соблюдению CBAM в 2026. Плюс внутренний драйвер: Постановление КМ № 221 от 04.05.2026 определило порядок внедрения ESG-стандартов, а «зелёный» статус открывает клиенту кредитные линии ЕБРР/АБР/МФК на условиях лучше рыночных.</t>
  </si>
  <si>
    <t>$60–120 тыс. — 2 инженера-энергетика, методолог по регламентам ЕС, обучение и аккредитационные курсы, расчётное ПО, оборотка на длинный цикл продажи через европейского покупателя.</t>
  </si>
  <si>
    <t>консалтинг — без лицензии; для функции верификатора нужна аккредитация в ЕС (отдельный, гораздо более тяжёлый путь — сознательно не берём, чтобы не потерять право консультировать).</t>
  </si>
  <si>
    <t>политика ЕС меняется: упрощения CBAM уже принимались, дальнейшее смягчение (повышение порогов, отсрочки) может сузить круг обязанных клиентов.</t>
  </si>
  <si>
    <t>PRO-09</t>
  </si>
  <si>
    <t>E&amp;S-консалтинг для заёмщиков ЕБРР / IFC / АБР (ESIA, ESMS, LARP)</t>
  </si>
  <si>
    <t>Профессиональные услуги для бизнеса (ESG и устойчивое развитие)</t>
  </si>
  <si>
    <t>Экологическо-социальный консалтинг, который приводит узбекского заёмщика в соответствие требованиям банков развития — оценка воздействия (ESIA), система экологического и социального менеджмента (ESMS), план корректирующих действий (ESAP), взаимодействие с затронутым населением и переселение (LARP).</t>
  </si>
  <si>
    <t>промышленные и энергетические компании, привлекающие займы ЕБРР, IFC, АБР, AIIB, ИБР; локальные банки-партнёры этих институтов; девелоперы ВИЭ; агрохолдинги.</t>
  </si>
  <si>
    <t>полный ESIA по проекту категории A — $120–350 тыс. (оценка, международный ориентир), ESDD категории B — $30–80 тыс., построение ESMS для банка или корпорации — $50–150 тыс., мониторинг соответствия ESAP — $2–6 тыс./мес. на проект.</t>
  </si>
  <si>
    <t>Ни один заём ЕБРР/IFC/АБР не выдаётся без прохождения E&amp;S-процедур соответствующего банка (Performance Requirements ЕБРР, Performance Standards IFC, Safeguard Policy Statement АБР). Узбекский заёмщик обычно приносит документ государственной экологической экспертизы, который под эти стандарты не подходит ни по структуре, ни по объёму (нет анализа альтернатив, нет stakeholder engagement plan, нет grievance mechanism, нет социального компонента). Итог — заём висит месяцами. Цена терпения = стоимость денег × срок задержки, плюс риск потери льготной ставки.</t>
  </si>
  <si>
    <t>Позиционируемся как «переводчик» между узбекской проектной документацией и языком банков развития. (1) E&amp;S due diligence на входе: быстро говорим клиенту, какая категория и что придётся сделать. (2) ESIA/ESDD по стандартам конкретного банка, включая полевые исследования (биоразнообразие, шум, качество воздуха, условия труда подрядчиков). (3) Stakeholder engagement: публичные слушания, механизм жалоб, работа с махаллёй — то, что иностранный консультант физически не сделает. (4) LARP при изъятии земель — самый болезненный и самый дорогой блок. (5) Годовой мониторинг и отчётность по ESAP перед банком. Отдельный продукт: построение ESMS в локальном банке-партнёре — по данным ЕБРР, 84% его банков-партнёров нуждаются в дополнительной поддержке из-за отсутствия данных, и собирают информацию вручную через фронт-офис.</t>
  </si>
  <si>
    <t>$30–350 тыс. против доступа к длинным деньгам МФО, которые по ставкам и срокам в среднем выгоднее стандартного рыночного фондирования, а издержки на подготовку частично покрываются грантами и технической помощью самих банков. При депозитной ставке в сумах 19.7% (барьер сравнения) разница между рыночным сумовым фондированием и валютным займом МФО — десятки процентных пунктов; консалтинг стоит доли процента от суммы займа.</t>
  </si>
  <si>
    <t>ближайшие игроки — международные E&amp;S-консультанты (ERM, SLR, Mott MacDonald), которые приезжают на крупные проекты вахтой и стоят кратно дороже; локальные проектные институты, делающие госэкспертизу (не знают стандартов МФО); ESG-практики Big4 (методология есть, полевой экологии — нет) | заменители — нанять международного консультанта за втрое большие деньги, попытаться сдать банку госэкспертизу, отказаться от займа МФО в пользу коммерческого | почему свободно: нужен редкий гибрид — полевой эколог/социолог + знание Performance Requirements + узбекский язык для работы с населением; международные фирмы такую команду в Ташкенте не держат, потому что поток проектов пока не оправдывает постоянный офис.</t>
  </si>
  <si>
    <t>ERM (Environmental Resources Management) — глобальный лидер E&amp;S-консалтинга, куплен KKR в 2021 году по оценке порядка $2.7 млрд (сумма по сообщениям деловых СМИ — «оценка»). На сопоставимом рынке: турецкие инженерно-экологические фирмы (например, Çınar Mühendislik) выросли на ESIA для проектов, финансируемых ЕБРР и IFC в Турции — прямая аналогия по механике «приход банков развития создаёт локальный E&amp;S-рынок».</t>
  </si>
  <si>
    <t>Постановление КМ № 221 от 04.05.2026 определило порядок внедрения стандартов ESG; ЕБРР и IFC приобретают доли в узбекских банках (сделка по TBC Bank Uzbekistan), 14 международным организациям разрешено выпускать сумовые облигации; веб-платформа УзКРИ с критериями «зелёного» статуса разработана при участии АБР; по данным ЕБРР, 84% банков-партнёров нуждаются в поддержке по сбору E&amp;S-данных.</t>
  </si>
  <si>
    <t>$80–150 тыс. — эколог, социолог, специалист по охране труда, полевое оборудование или подряд на замеры, обучение по стандартам IFC/EBRD, оборотка на 9–12 месяцев (МФО платят по вехам).</t>
  </si>
  <si>
    <t>для государственной экологической экспертизы требуется соответствие национальным требованиям (перечень — «не подтверждено»); для работ по стандартам МФО национальная лицензия не нужна, нужен подтверждённый опыт (track record) — что и есть главный барьер входа.</t>
  </si>
  <si>
    <t>зависимость от пайплайна проектов МФО: замедление кредитования ЕБРР/АБР в стране обнуляет спрос почти мгновенно.</t>
  </si>
  <si>
    <t>PRO-10</t>
  </si>
  <si>
    <t>МСФО-фабрика и подготовка эмитентов к выходу на рынок капитала</t>
  </si>
  <si>
    <t>Профессиональные услуги для бизнеса (учёт, отчётность, рынок капитала)</t>
  </si>
  <si>
    <t>Производственная линия по трансформации отчётности в МСФО и подготовке компаний к выпуску облигаций и IPO: первое применение МСФО, учётная политика, консолидация, отчётность эмитента, взаимодействие с аудитором и биржей.</t>
  </si>
  <si>
    <t>эмитенты облигаций и кандидаты на IPO, компании с иностранным участием, заёмщики МФО (МСФО — стандартное ковенантное требование), средние группы, готовящиеся к продаже, а также госактивы, идущие в приватизацию.</t>
  </si>
  <si>
    <t>первое применение МСФО (переход) $30–90 тыс. (оценка), годовая трансформация и консолидация $20–50 тыс./год, «МСФО как сервис» на аутсорсе $2.5–7 тыс./мес., подготовка проспекта/информационного меморандума и финансовой части — $40–120 тыс. за сделку.</t>
  </si>
  <si>
    <t>Компания, которая хочет выпустить облигации или выйти на биржу, обязана разговаривать с инвестором на языке МСФО. Внутри узбекской компании этого языка нет: НСБУ-бухгалтер физически не умеет строить отчёт о движении денежных средств косвенным методом, признавать аренду по IFRS 16 или считать ECL по IFRS 9. Аудитор трансформацию делать не может (независимость), Big4 берут за неё как за проект для международной группы. Цена терпения — либо отказ от рынка капитала, либо дисконт в оценке, потому что инвестор не верит отчётности.</t>
  </si>
  <si>
    <t>Не консультируем, а ДЕЛАЕМ отчётность. (1) Диагностика разрыва НСБУ→МСФО и план перехода с датой перехода. (2) Трансформационная модель (маппинг счетов, корректировки, рабочие таблицы) — передаётся клиенту как актив, но обслуживается нами. (3) Учётная политика и раскрытия под конкретную отрасль. (4) Сопровождение аудита: мы отвечаем на запросы аудитора, а не клиентский бухгалтер. (5) Наверх — «эмитентский пакет»: финансовая часть проспекта, прогнозная модель, ответы на вопросы НАПП и биржи. Продажа идёт через андеррайтеров и брокеров, а не напрямую.</t>
  </si>
  <si>
    <t>$30–90 тыс. за переход против стоимости капитала. Ориентир: объём эмиссий акций вырос со 189.7 трлн сум (2023) до 269.4 трлн (на 01.07.2026), объём торгов на бирже вырос с 2.9 до 17.6 трлн сум за 2023–2025 (примерно в 6 раз), а прогноз НАПП — привлечение через фондовый рынок 10 трлн сум в 2026 и 20 трлн к 2030. Каждый процент дисконта в оценке при размещении на 100 млрд сум — это ~1 млрд сум (около $80 тыс.), то есть проект окупается на одном процентном пункте доверия к отчётности.</t>
  </si>
  <si>
    <t>ближайшие игроки — Big4 в Ташкенте (PwC, Deloitte, KPMG, EY — берут крупнейших, ценник недоступен среднему эмитенту), локальные аудиторские фирмы (не могут делать трансформацию тем, кого аудируют), консультанты уровня tax-legal.uz, bss.uz, обучающие центры по МСФО | заменители — нанять одного «специалиста по МСФО» в штат (дефицитный и дорогой), купить шаблон трансформации, вообще не выходить на рынок капитала | почему свободно: возникает НОВЫЙ класс клиентов — средние эмитенты, которых Big4 не окупают, а локальные аудиторы не могут обслуживать из-за независимости; плюс кадровый дефицит: MoU ACCA/ACFP с Минзанятости от марта 2026 существует именно потому, что специалистов не хватает.</t>
  </si>
  <si>
    <t>Nexdigm (ранее SKP Group, Индия) — независимая фирма профессиональных услуг, выстроившая крупный бизнес именно на аутсорсинге финансовых функций, конверсии отчётности (IFRS/US GAAP) и комплаенсе для среднего сегмента, с тысячами специалистов (численность — «оценка»); модель «мид-маркет вместо Big4» проверена также Grant Thornton и Baker Tilly в Румынии и Польше в период вступления в ЕС.</t>
  </si>
  <si>
    <t>проект НОВОГО закона о рынке капитала (16 глав, 123 статьи) представлен 13.08.2026; НАПП — независимый регулятор с 09.2023; IPO UzNIF в мае 2026 с параллельным листингом Лондон + Ташкент задало планку качества отчётности; приватизация госбанков перенесена на 2027 — окно на подготовку продавцов; приказ Минфина о признании документов МСФО на территории РУз действует с 13.12.2022, отчётность по МСФО сдаётся не позднее 1 мая следующего года.</t>
  </si>
  <si>
    <t>$60–120 тыс. — 4–6 специалистов с DipIFR/ACCA, лицензия на софт трансформации/консолидации, оборотка на 9 месяцев.</t>
  </si>
  <si>
    <t>трансформация и подготовка отчётности лицензии не требуют; аудит требует лицензии и несовместим с составлением отчётности того же клиента — принципиально НЕ идём в аудит, чтобы сохранить рынок.</t>
  </si>
  <si>
    <t>отчётность по МСФО в РУз для большинства компаний остаётся добровольной; если обязывающего требования не появится, спрос будет тянуться только сделками, а не регулированием.</t>
  </si>
  <si>
    <t>PRO-11</t>
  </si>
  <si>
    <t>Sell-side advisory и предпродажная подготовка госактивов под приватизацию</t>
  </si>
  <si>
    <t>Профессиональные услуги для бизнеса (оценка, транзакционный консалтинг)</t>
  </si>
  <si>
    <t>Транзакционный бутик, который готовит государственные и квазигосударственные активы к продаже: vendor due diligence, очистка баланса, оценка, инфомеморандум, дата-рум и сопровождение торгов.</t>
  </si>
  <si>
    <t>Агентство по управлению государственными активами и отраслевые министерства (как заказчики предпродажной подготовки), сами приватизируемые предприятия, а также покупатели — им нужен buy-side DD.</t>
  </si>
  <si>
    <t>vendor DD и оценка одного среднего актива $40–120 тыс. (оценка), подготовка инфомеморандума и дата-рума $25–60 тыс., success fee 0.5–2% от суммы сделки на среднем чеке, консультирование покупателя $30–80 тыс. за объект.</t>
  </si>
  <si>
    <t>Указом № УП-177 от 28.08.2026 «О дополнительных мерах по сокращению государственного участия в экономике и ускорению процессов приватизации» утверждён перечень госактивов общей стоимостью 100 трлн сум (свыше $8 млрд), которые выставляются на открытые торги. В 2026–2027 годах на публичные торги планируется вывести госпакеты в 62 предприятиях; в перечень вошли доли государства в 84 компаниях, более 1.2 тыс. объектов недвижимости и около 8 тыс. гектаров земель; власти рассчитывают получить до конца 2026 года не менее $1.17 млрд. Ни у одного из этих активов нет отчётности и документации, которую можно показать внешнему инвестору. Цена терпения для государства — дисконт при продаже; для покупателя — покупка кота в мешке.</t>
  </si>
  <si>
    <t>Работаем по обе стороны, но разными командами. Sell-side: (1) финансовая и налоговая VDD — что реально в балансе, какие налоговые хвосты, какие внебалансовые обязательства и споры; (2) юридическая расчистка — титулы на землю и недвижимость (что критично: в перечне 1.2 тыс. объектов и 8 тыс. га); (3) оценка по национальным стандартам оценки + рыночная оценка для инвестора-иностранца; (4) инфомеморандум и виртуальный дата-рум на английском; (5) сопровождение торгов и Q&amp;A с претендентами. Buy-side: экспресс-DD за 3 недели под конкретный лот, включая проверку контрагентов и связанных сторон.</t>
  </si>
  <si>
    <t>Комиссия в 0.5–2% против дисконта, который инвестор закладывает за непрозрачность (в развивающихся приватизациях он измеряется десятками процентов — «оценка»). Дополнительный аргумент, который уже озвучен властями: первоначальный платёж при покупке госактивов снижают до 15%, а рассрочку увеличивают до семи лет — это резко расширяет круг покупателей, а значит и число сделок, которым нужен консультант.</t>
  </si>
  <si>
    <t>ближайшие игроки — Big4 в Ташкенте (Deloitte, PwC, KPMG, EY — берут крупнейшие мандаты: Минэкономфинансов поручено готовить «Туронбанк» к приватизации с учётом заключений МЕЖДУНАРОДНЫХ консультантов), лицензированные оценочные организации под надзором Агентства по управлению госактивами, Общество оценщиков Узбекистана, uinvest.uz с DD-практикой | заменители — продажа «как есть» с балансовой оценкой, оценка силами штатного оценщика агентства, самостоятельная проверка покупателем | почему свободно: 62 предприятия + 84 доли + 1.2 тыс. объектов физически не помещаются в мандаты четырёх Big4-офисов; средний лот слишком мал для международного консультанта и слишком сложен для одиночного оценщика — это и есть щель.</t>
  </si>
  <si>
    <t>Польша 1998–2008: волна приватизации и подготовки к IPO на WSE породила независимые транзакционные бутики — IPOPEMA Securities (основана 2005, выросла в одного из ведущих брокеров и M&amp;A-консультантов Варшавы, сама вышла на биржу в 2009). Аналогичная механика в Румынии 2005–2015 вокруг приватизации и Fondul Proprietatea (конкретные комиссионные — «оценка»).</t>
  </si>
  <si>
    <t>УП-177 от 28.08.2026 (100 трлн сум активов, 62 предприятия на торги в 2026–2027, среди крупных — 98.9% «Туронбанка», 100% Xalq Sug'urta, 100% Humo Air, 91.83% «Узэкспоцентра», 79.27% Международного бизнес-центра); снижение первоначального платежа до 15% и рассрочка до 7 лет; приватизация госбанков перенесена на 2027 — то есть окно подготовки открыто именно сейчас. Плюс идёт совершенствование оценочной деятельности и упрощение реализации низкорентабельных бездействующих предприятий с госучастием (проект на regulation.gov.uz).</t>
  </si>
  <si>
    <t>$80–150 тыс. — финансовый аналитик, оценщик с аттестатом, юрист по недвижимости, подписки на данные, виртуальный дата-рум, оборотка на цикл госзакупки услуг.</t>
  </si>
  <si>
    <t>оценочная деятельность — только через оценочную организацию, лицензируемую Агентством по управлению госактивами, с аттестованными оценщиками и полисом страхования профессиональной ответственности; финансовый консалтинг лицензии не требует.</t>
  </si>
  <si>
    <t>политический: приватизацию уже переносили (госбанки — на 2027), и график может снова сдвинуться, оставив команду без загрузки.</t>
  </si>
  <si>
    <t>PRO-12</t>
  </si>
  <si>
    <t>Внутренний аудит и функция управления рисками на аутсорсе (ко-сорсинг)</t>
  </si>
  <si>
    <t>Профессиональные услуги для бизнеса (аудит и корпоративное управление)</t>
  </si>
  <si>
    <t>Фирма, которая берёт на аутсорс или ко-сорсинг службу внутреннего аудита компаний и госпредприятий — от риск-ориентированного годового плана до отчётов наблюдательному совету, включая ИТ-аудит и проверку закупок.</t>
  </si>
  <si>
    <t>акционерные общества, предприятия с госдолей, банки и страховые, крупные частные группы, а также «дочки» иностранных компаний, которым головной офис требует внутренний аудит.</t>
  </si>
  <si>
    <t>годовой контракт полного аутсорса $30–90 тыс./год (оценка), ко-сорсинг отдельных заданий $8–20 тыс. за задание, quality assessment существующей службы внутреннего аудита $10–25 тыс., ИТ-аудит и аудит закупок — отдельные пакеты.</t>
  </si>
  <si>
    <t>Требования к организации внутреннего аудита установлены для предприятий с активами свыше 1 млрд сум и для акционерных обществ с активами свыше 100 тыс. МРОТ; наблюдательные советы госпредприятий утверждают положение о внутреннем аудите, назначают и освобождают его сотрудников; разработаны национальные стандарты внутреннего аудита. Итог: сотни организаций ОБЯЗАНЫ иметь функцию, но не имеют ни методологии, ни людей. Реальность — «внутренний аудитор» как одна ставка, подчинённая директору (то есть проверяющая своего же начальника) и пишущая отчёты в стол.</t>
  </si>
  <si>
    <t>Продаём функцию, а не человека. (1) Риск-ориентированный годовой план, утверждаемый наблюдательным советом, а не директором — это сразу меняет политический вес функции. (2) Выполнение заданий смешанной командой: наш методолог + наш отраслевой специалист + один сотрудник клиента (передача знаний зашита в контракт). (3) Стандартизированные программы по «горячим» процессам: закупки, дебиторка, склад, ГСМ, зарплата, ИТ-доступы. (4) Отчёт в формате, который наблюдательный совет может читать за 10 минут. (5) Отдельный продукт — внешняя оценка качества (QA) уже существующей службы внутреннего аудита, что требуется профессиональными стандартами раз в 5 лет.</t>
  </si>
  <si>
    <t>$30–90 тыс./год против содержания собственной службы из 3–4 человек (зарплаты квалифицированных внутренних аудиторов + обучение + текучка; сопоставимо или дороже, при худшем качестве — «оценка»). Более сильный аргумент — обнаруженные потери: в закупочно-складских процессах узбекских предприятий типичные утечки исчисляются процентами оборота («оценка», но именно это продаёт услугу на первой же пилотной проверке).</t>
  </si>
  <si>
    <t>ближайшие игроки — Big4 (у KPMG есть risk consulting; аутсорс внутреннего аудита для среднего клиента им не интересен по экономике), локальные аудиторские фирмы (Leader Audit и др. — фокус на обязательном внешнем аудите), консультанты по корпоративному управлению | заменители — штатный внутренний аудитор, ревизионная комиссия «для галочки», привлечение внешнего аудитора к «дополнительным процедурам» | почему свободно: требование существует, а профессии почти нет — сертифицированных CIA в стране единицы («не подтверждено» точное число); Big4 уходят наверх, а локальные аудиторы не могут совмещать внешний аудит и внутренний аудит одного клиента.</t>
  </si>
  <si>
    <t>Protiviti (США) — фирма, созданная в 2002 году на базе консультационной практики Arthur Andersen специально под аутсорсинг и ко-сорсинг внутреннего аудита после Sarbanes-Oxley; выросла в глобальную компанию с выручкой порядка $1.5–1.8 млрд (оценка) в составе Robert Half. Механика «новое требование к корпуправлению → рынок аутсорса функции» повторена в Индии после Companies Act 2013 (обязательный внутренний аудит для определённых категорий компаний).</t>
  </si>
  <si>
    <t>разработаны национальные стандарты внутреннего аудита; порог обязательности — активы свыше 1 млрд сум (и свыше 100 тыс. МРОТ для АО); определены полномочия наблюдательных советов госпредприятий, включая утверждение положения о внутреннем аудите (акт вступил в силу 27.10.2022); плюс подготовка десятков предприятий к приватизации (УП-177) требует демонстрации инвестору работающей системы внутреннего контроля.</t>
  </si>
  <si>
    <t>$50–90 тыс. — 3–4 аудитора (желательно с CIA/ACCA), методологическая библиотека программ проверок, простое ПО для рабочих бумаг, оборотка на год.</t>
  </si>
  <si>
    <t>внутренний аудит на аутсорсе лицензии не требует; нельзя совмещать с внешним аудитом того же клиента; для банков и страховых могут быть отдельные требования ЦБ/регулятора — «не подтверждено».</t>
  </si>
  <si>
    <t>покупатель услуги — тот, кого она проверяет. Пока наблюдательные советы формальны, решение о найме принимает менеджмент, которому независимый аудит не нужен.</t>
  </si>
  <si>
    <t>PRO-13</t>
  </si>
  <si>
    <t>Интеллидженс-бутик: корпоративные расследования, integrity DD контрагентов и рыночная разведка</t>
  </si>
  <si>
    <t>Профессиональные услуги для бизнеса (форензик, разведка, исследования)</t>
  </si>
  <si>
    <t>Фирма в модели Kroll/Control Risks для Центральной Азии: расследования корпоративного мошенничества, проверка контрагентов и бенефициаров на добросовестность и санкции, поиск активов, а также разведывательные исследования рынка и конкурентов для входящих инвесторов.</t>
  </si>
  <si>
    <t>иностранные инвесторы и МФО (проверка партнёра до сделки), банки и лизинговые компании (проверка заёмщика, AML/санкционный скрининг), крупные локальные группы (расследование хищений), страховые, юрфирмы (поддержка в спорах), международные компании под FCPA/UK Bribery Act.</t>
  </si>
  <si>
    <t>integrity due diligence на одно юрлицо/лицо $2.5–8 тыс. (оценка), расширенное расследование $15–60 тыс., поиск активов и поддержка спора $30–150 тыс., подписка на мониторинг портфеля контрагентов $1.5–5 тыс./мес., отраслевое исследование под вход на рынок $20–60 тыс.</t>
  </si>
  <si>
    <t>Иностранная компания, входящая в РУз, не может ответить на три вопроса: кто на самом деле бенефициар моего партнёра, нет ли у него PEP-связей и санкционных рисков, и как реально устроен рынок, куда я иду. Открытых данных мало — профильные исследователи прямо отмечают, что доступность данных в РУз ограничена, особенно в новых секторах и регионах, поэтому первичное исследование обязательно. Цена терпения — либо сделка вслепую, либо отказ от рынка. Для банка цена — дефолт заёмщика, за которым стоял неизвестный связанный контур.</t>
  </si>
  <si>
    <t>Три линии, одна команда. (1) Integrity DD: реестры, суды, госзакупки, таможенные и тендерные базы, СМИ, соцсети, плюс human intelligence — контролируемые беседы с бывшими сотрудниками, контрагентами, отраслевыми людьми (именно это отличает от «отчёта из базы данных»). (2) Расследования: интервью, анализ документов и транзакций, цифровая форензика, отчёт, пригодный для суда и для внутреннего дисциплинарного решения. (3) Рыночная разведка: карта игроков, реальные объёмы и цены, каналы, регуляторные узкие места — под конкретное инвестрешение, а не «обзор рынка». Продукт стандартизируется по уровням (Level 1/2/3) с фиксированной ценой и сроком — это то, чего локальные «детективы» не дают.</t>
  </si>
  <si>
    <t>$2.5–8 тыс. за проверку против потери всей инвестиции. Для банка с портфелем в 500 корпоративных заёмщиков подписочный скрининг стоит доли процента портфеля и напрямую снижает NPL. Для расследования продаётся возврат: типичный кейс форензика — обнаружение и возврат сумм, кратно превышающих гонорар («оценка»).</t>
  </si>
  <si>
    <t>ближайшие игроки — форензик-практики Big4 в регионе (KPMG Kazakhstan Forensic и Fraud Investigation, PwC Kazakhstan Forensic Services, EY Investigations — обслуживают Центральную Азию, включая Узбекистан, но из Алматы и по ценам глобальной фирмы), SIGNUM Law (Казахстан, корпоративные расследования), исследовательские агентства в РУз (2insights, GRC.uz, AQR Fieldwork — делают потребительские исследования, не разведку), uinvest.uz (due diligence инвестобъектов) | заменители — «спросить у знакомых», проверка по открытому реестру, найм частного детектива, покупка глобального compliance-отчёта, где по РУз пусто | почему свободно: глобальные интеллидженс-фирмы (Control Risks, Kroll, S-RM) физически не имеют офиса в Ташкенте и работают через подрядчиков — то есть локальная фирма может стать этим подрядчиком и одновременно продавать напрямую; локальные же игроки не умеют упаковывать результат в…</t>
  </si>
  <si>
    <t>Control Risks (Великобритания) и S-RM (Великобритания, в 2021 получила инвестиции от фонда private equity — детали «оценка») — обе построены ровно на связке «расследования + integrity DD + страновая разведка» и работают преимущественно на развивающихся рынках. Kroll (США) — канонический бренд отрасли, продан и интегрирован в Duff &amp; Phelps.</t>
  </si>
  <si>
    <t>(а) приватизация на $8+ млрд по УП-177 от 28.08.2026 приводит волну иностранных покупателей, каждому из которых нужен DD по активу и партнёру; (б) ЕБРР и IFC входят в капитал узбекских банков (TBC Bank Uzbekistan), а это автоматически тянет требования к AML/KYC и проверке контрагентов; (в) в сфере госзакупок коррупционные риски сохраняются: закон о неконкурентных закупках есть, а ограничений нет — то есть спрос на проверку поставщика структурно растёт; (г) вступление в ВТО и рост экспорта увеличивают санкционную экспозицию узбекских контрагентов.</t>
  </si>
  <si>
    <t>$50–100 тыс. — 3–4 аналитика, один экс-следователь/экс-банковский комплаенс, подписки на международные санкционные и PEP-базы, юридическое сопровождение (крайне важно — границы законного сбора информации).</t>
  </si>
  <si>
    <t>частная детективная деятельность в РУз — статус «не подтверждено», требует отдельной проверки; обработка персональных данных при проверках подпадает под закон о персональных данных (см. PRO-15) — это главный юридический риск модели.</t>
  </si>
  <si>
    <t>правовая граница. Сбор сведений о физлицах без правового основания превращает продукт в нарушение закона о персональных данных; бизнес нужно строить строго на открытых источниках и согласиях.</t>
  </si>
  <si>
    <t>PRO-14</t>
  </si>
  <si>
    <t>ТЦО-бутик: документация и уведомления по контролируемым сделкам</t>
  </si>
  <si>
    <t>Профессиональные услуги для бизнеса (налоговое консультирование)</t>
  </si>
  <si>
    <t>Узкоспециализированная фирма, которая делает только трансфертное ценообразование: уведомления о контролируемых сделках, локальные и глобальные файлы документации, бенчмаркинг и защита позиции при проверке.</t>
  </si>
  <si>
    <t>узбекские «дочки» иностранных групп, локальные холдинги со связанными лицами, экспортёры сырья (где ТЦО бьёт больнее всего), компании с внутригрупповыми займами и роялти, банки.</t>
  </si>
  <si>
    <t>уведомление о контролируемых сделках $2–6 тыс. (оценка), локальный файл документации $10–30 тыс. на группу сделок, бенчмаркинг-исследование $4–10 тыс., защита при налоговой проверке $15–50 тыс., ретейнер на ТЦО-политику группы $2–5 тыс./мес.</t>
  </si>
  <si>
    <t>Раздел VI Налогового кодекса «Налоговый контроль при трансфертном ценообразовании» действует с 01.01.2022; статья 37 НК определяет взаимосвязанных лиц. Уведомление подаётся не позднее срока представления годовой финансовой отчётности; в файл документации входят описание налогоплательщика и группы, перечень контролируемых сделок, функциональный анализ и анализ сопоставимости, выбор и применение методов ТЦО, финансовая информация. Проблема: типовой узбекский главбух не в состоянии сделать функциональный анализ и подобрать сопоставимые компании, а без документации налоговый орган вправе доначислить исходя из своей оценки рыночной цены. Отдельная больная точка, уже разбираемая в профессиональной прессе, — беспроцентные внутригрупповые займы и постоянные учреждения.</t>
  </si>
  <si>
    <t>Продуктизируем то, что Big4 продают как индивидуальный проект. (1) «ТЦО-скрининг» за фиксированные $1.5–3 тыс.: за две недели говорим, какие сделки контролируемые, какой порог, какой дедлайн и какой размер риска в деньгах — это дешёвый вход, который конвертирует. (2) Уведомление по фикс-цене с гарантией сдачи в срок. (3) Документация: функциональный анализ (интервью с операционными людьми, а не переписывание устава), выбор метода, бенчмарк по коммерческим базам сопоставимых компаний с обоснованием выборки — включая честную работу с проблемой отсутствия узбекских сопоставимых (обычно берётся региональная выборка, и её защита — это и есть экспертиза). (4) Сопровождение проверки и подготовка к возможным APA, когда механизм заработает.</t>
  </si>
  <si>
    <t>$10–30 тыс. за документацию против доначислений. Для группы с внутригрупповым оборотом в $20 млн корректировка налоговой базы даже на 5% при ставке налога на прибыль 15% — это $150 тыс. налога плюс пени и штраф (оценка по параметрам из базы фактов). То есть документация окупается при вероятности спора выше 15–20%.</t>
  </si>
  <si>
    <t>ближайшие игроки — KPMG в Узбекистане прямо заявляет transfer pricing в перечне налоговых услуг, EY выпускает узбекские Tax Alerts, PwC ведёт Tax Summaries по РУз, B1 (бывш. EY-Россия) публикует обзоры узбекских правил ТЦО; локально — tax-legal.uz, buxgalter.uz как источник методологии | заменители — «сделаем сами по образцу из интернета», не подавать и надеяться, что не проверят, попросить аудитора «посмотреть» | почему свободно: ТЦО — самая узкая и самая не масштабируемая часть налоговой практики; Big4 берут за неё по международным ставкам, средним группам это не по карману, а локальные бухгалтерские фирмы за неё не берутся из-за отсутствия доступа к базам сопоставимых компаний и методологии. Ниша ровно между ними.</t>
  </si>
  <si>
    <t>Quantera Global (Нидерланды) — независимый ТЦО-бутик, выросший в международную сеть офисов исключительно на этой специализации (обороты — «оценка»). На сопоставимом рынке: Индия после введения ТЦО-регулирования породила отдельный класс бутиков и практик (Nangia Andersen, Dhruva Advisors — последняя основана в 2014 и быстро стала одной из ведущих независимых налоговых фирм Индии).</t>
  </si>
  <si>
    <t>Раздел VI НК РУз действует с 01.01.2022 — режим уже «созрел» до стадии, когда налоговый орган начинает реально проверять (типичный лаг 3–5 лет от введения правил до волны споров); профессиональная пресса в 2026 году активно публикует пошаговые алгоритмы анализа сделок — верный признак, что спрос сформировался. Плюс приток иностранных групп (IT Park, приватизация, МФО) множит число компаний с контролируемыми сделками.</t>
  </si>
  <si>
    <t>$40–80 тыс. — 2–3 налоговых специалиста, подписка на базу сопоставимых компаний (главная статья расходов, $15–35 тыс./год — оценка), методология, обучение.</t>
  </si>
  <si>
    <t>налоговое консультирование лицензии не требует; представительство в налоговом споре — по доверенности, в суде — с учётом требований к представителям.</t>
  </si>
  <si>
    <t>если налоговый орган не начнёт массово запрашивать документацию ТЦО, спрос останется «страховым» и медленным — бизнес будет расти линейно, а не взрывно.</t>
  </si>
  <si>
    <t>PRO-15</t>
  </si>
  <si>
    <t>Privacy-комплаенс и DPO-as-a-Service под новую редакцию закона о персональных данных</t>
  </si>
  <si>
    <t>Профессиональные услуги для бизнеса (юридические услуги, продуктизированные)</t>
  </si>
  <si>
    <t>Подписочный сервис, который приводит компанию в соответствие закону РУз «О персональных данных» в редакции 2026 года и дальше держит её в соответствии: реестр баз, документы оператора, трансграничная передача, реагирование на инциденты, внешний DPO.</t>
  </si>
  <si>
    <t>банки, финтех и платёжные сервисы, телеком, маркетплейсы и e-commerce, медицинские сети и лаборатории, HR-tech, IT Park-резиденты, работающие с данными европейских и американских клиентов, крупные ритейлеры.</t>
  </si>
  <si>
    <t>первичный аудит и приведение в соответствие $6–20 тыс. (оценка), подписка «внешний DPO» $700–2500/мес., отдельные пакеты: оценка воздействия при трансграничной передаче $3–8 тыс., реагирование на утечку — почасово с премией за срочность, обучение сотрудников — потоками.</t>
  </si>
  <si>
    <t>Законом ЗРУ-1125 от 26.03.2026 (вступил в силу с публикацией 27.03.2026) требования локализации смягчены: обработка вне страны разрешена при соблюдении требований безопасности, обязательная локализация сохранена для биометрических и генетических данных и данных пользователей операторов связи. Это не «отмена комплаенса», а его усложнение: раньше правило было простое и тупое («сервер в РУз»), теперь нужно ДОКАЗЫВАТЬ соблюдение требований безопасности при вывозе данных — то есть появилась работа, которой раньше не было. Плюс санкции: за незаконную обработку персональных данных с использованием ИИ штраф — до 41.2 млн сум. Хранение данных за рубежом без соблюдения требований, отсутствие контроля над локацией серверов и передача третьим лицам без правового основания ведут к штрафам, ограничениям и проблемам с регулятором.</t>
  </si>
  <si>
    <t>Продуктизируем в три уровня. (1) «Базовый комплаенс»: инвентаризация данных (что, где, зачем, кому передаём), регистрация баз в реестре, комплект документов оператора — политика, согласия, DPA с подрядчиками, регламент реагирования на запросы субъектов. (2) «Трансграничный пакет» — ключевой и самый маржинальный: юридико-техническое обоснование вывоза данных (какие категории можно, какие нельзя, какие меры безопасности достаточны), договорные механизмы с зарубежными облаками и подрядчиками. Именно этот продукт создан поправками марта 2026 и именно он нужен всем, кто хочет пользоваться иностранными SaaS. (3) «DPO-as-a-Service»: внешнее ответственное лицо, ежеквартальные проверки, обучение, готовность к инциденту.</t>
  </si>
  <si>
    <t>Подписка $700–2500/мес. против штрафов (до 41.2 млн сум по одному составу — около $3.3 тыс., но составов много и они множатся по эпизодам), и, что важнее, против операционного риска: банку или маркетплейсу предписание регулятора об остановке обработки данных означает остановку бизнеса. Отдельная выгода — снятие блокера на использование иностранных облаков и платёжных сервисов: поправки открывают путь Apple Pay, Google Pay и PayPal, но каждой компании нужно самой обосновать законность своей схемы.</t>
  </si>
  <si>
    <t>ближайшие игроки — Pactum (pactum.uz — прямо продаёт «персональные данные: локализация, реестр баз, документы оператора»), IT-TEAM SERVICE (itts.uz — публикует разборы поправок 2026 и ведёт направление «Персональные данные»), хостеры Servercore и Serverspace (продают локализацию как инфраструктуру плюс контент-маркетинг), юрфирмы Band 1 (Dentons, CENTIL, GRATA — делают privacy как часть корпоративной практики, почасово и дорого), KPMG Law UZ | заменители — «скачали политику из интернета и повесили на сайт», поручить юристу по совместительству, купить сервер в РУз и считать вопрос закрытым | почему свободно: ниша ЗАНЯТА, но занята инфраструктурными игроками (хостеры продают железо) и почасовыми юрфирмами; свободна именно подписочная модель «внешний DPO с SLA», которая в GDPR-мире оказалась самой масштабируемой; плюс правила изменились 27.03.2026, и весь рынок обязан переделать документы …</t>
  </si>
  <si>
    <t>DataGuard (Германия) — продуктизированный DPO-as-a-Service и privacy-комплаенс по подписке; выросла до тысяч клиентов и привлекла крупный венчурный раунд серии B (сумма — «оценка»), доказав, что «внешний DPO по подписке» — это не консалтинг, а SaaS-подобный бизнес с высокой удерживаемостью. На сопоставимом рынке: Индия после принятия Digital Personal Data Protection Act 2023 породила волну privacy-консультантов и внешних DPO.</t>
  </si>
  <si>
    <t>ЗРУ-1125 от 26.03.2026, вступил в силу 27.03.2026 — смягчение локализации при одновременном сохранении локализации для биометрии, генетики и данных абонентов связи; штраф до 41.2 млн сум за незаконную обработку с использованием ИИ; базовый закон — ЗРУ-547 «О персональных данных». Изменение правил в марте 2026 автоматически обесценило всю ранее сделанную документацию операторов.</t>
  </si>
  <si>
    <t>$30–60 тыс. — юрист по IT-праву, специалист по информационной безопасности, шаблонная база документов, простой клиентский портал, маркетинг через вебинары для комплаенс-офицеров.</t>
  </si>
  <si>
    <t>лицензии нет; при оказании услуг ИБ (аудит защищённости, пентесты) могут потребоваться отдельные разрешения — «не подтверждено»; сам провайдер становится обработчиком данных клиента и обязан соблюдать те же требования.</t>
  </si>
  <si>
    <t>правоприменение. Если регулятор не будет активно штрафовать, компании продолжат жить с политикой «скачали и повесили», и продажа превратится в продажу страховки от несуществующего риска.</t>
  </si>
  <si>
    <t>PRO-16</t>
  </si>
  <si>
    <t>Реструктуризация долга и антикризисное управление</t>
  </si>
  <si>
    <t>Профессиональные услуги для бизнеса (юридические и финансовые услуги)</t>
  </si>
  <si>
    <t>Практика, соединяющая финансовое моделирование и процессуальное право банкротства: независимый бизнес-обзор для кредиторов, план реструктуризации долга, сопровождение судебной санации и роль антикризисного/судебного управляющего.</t>
  </si>
  <si>
    <t>банки и небанковские кредиторы (независимая оценка заёмщика в стрессе), собственники проблемных предприятий, покупатели проблемных активов, лизинговые компании, а также сами процедуры (вознаграждение управляющего).</t>
  </si>
  <si>
    <t>независимый бизнес-обзор (IBR) для банка $20–60 тыс. (оценка), разработка и защита плана реструктуризации $40–120 тыс., вознаграждение судебного/антикризисного управляющего — по регламенту процедуры, консультирование покупателя проблемного актива $25–70 тыс.</t>
  </si>
  <si>
    <t>Закон РУз «О банкротстве» (192 статьи) содержит процедуры наблюдения и судебной санации, все процедуры ведут судебные управляющие (временный, санирующий, внешний, ликвидационный); в 2026 году в правовой обиход вводится фигура антикризисного управляющего, а приоритетной становится новая процедура реструктуризации долгов юридических лиц, нацеленная на восстановление платёжеспособности по плану реструктуризации. Сейчас банк с проблемным заёмщиком делает одно из двух: тянет и пролонгирует до последнего либо идёт в ликвидацию и получает копейки от распродажи залога. Промежуточной компетенции — «посчитать, сколько предприятие реально может обслуживать, и договориться» — в стране почти нет.</t>
  </si>
  <si>
    <t>Заходим со стороны КРЕДИТОРА, а не должника (это принципиально: кредитор платёжеспособен и принимает решения). (1) IBR: 4–6 недель, 13-недельная модель денежного потока, реальная оценка залогов, сценарии «ликвидация vs реструктуризация» в цифрах — банк впервые видит, какой вариант даёт больший возврат. (2) План реструктуризации: график, ковенанты, конвертация части долга, продажа непрофильных активов, при необходимости смена менеджмента. (3) Процессуальное сопровождение в суде и работа с собранием кредиторов. (4) Кадровое наполнение самой профессии: готовим и поставляем антикризисных управляющих (обучение — отдельный продукт, см. PRO-19).</t>
  </si>
  <si>
    <t>IBR за $20–60 тыс. против разницы в возврате. Для кредита на $10 млн разница между ликвидационным возвратом (типично 20–40% залоговой стоимости на развивающемся рынке — «оценка») и успешной реструктуризацией (70–100% номинала с отсрочкой) исчисляется миллионами долларов. Комиссия консультанта — доли процента от этой разницы.</t>
  </si>
  <si>
    <t>ближайшие игроки — юрфирмы Band 1 (Dentons, GRATA, CENTIL, Kosta Legal, Leges Advokat — ведут банкротные споры, но как право, без финансового моделирования), Big4 (в глобальной сети есть restructuring, узбекская практика — «не подтверждено»), реестр судебных управляющих (в основном ликвидаторы, а не финансисты), локальные банкротные адвокаты (sovz.uz и др., фокус на банкротстве физлиц) | заменители — бесконечная пролонгация кредита, «дружеская» ликвидация с выводом активов, работа собственными силами департамента проблемных активов банка | почему свободно: связка «финансовая модель + залоговое право + переговоры с пулом кредиторов» требует людей, которых в стране готовили как аудиторов или как юристов, но не как рестракчеров; и сама процедура реструктуризации как приоритетная только вводится — практики ещё нет ни у кого.</t>
  </si>
  <si>
    <t>Zimmerman Filipiak Restrukturyzacja (Польша) — фирма, созданная под польский Закон о реструктуризации 2016 года и ставшая одним из лидеров нового рынка реструктуризационных советников (доли рынка — «оценка»). Это точная механика: закон создал новую процедуру → появилась новая профессия → первые вошедшие забрали рынок. Глобальный эталон модели — Alvarez &amp; Marsal и AlixPartners (США), построившие многомиллиардные бизнесы на антикризисном управлении.</t>
  </si>
  <si>
    <t>Закон «О банкротстве» (lex.uz/acts/65983) с процедурами наблюдения и судебной санации; введение фигуры антикризисного управляющего и приоритет процедуры реструктуризации долгов юрлиц в 2026; принят закон о банкротстве физических лиц (отдельный, но расширяющий рынок специалистов). Дополнительный драйвер спроса: приватизация по УП-177 включает низкорентабельные и бездействующие предприятия с госучастием, механизм реализации которых как раз упрощают — это пул кандидатов на реструктуризацию.</t>
  </si>
  <si>
    <t>$60–120 тыс. — финансовый моделист, юрист-банкротчик, отраслевой операционный специалист, оборотка на 9–12 месяцев (кредиторы решают медленно).</t>
  </si>
  <si>
    <t>для роли судебного/антикризисного управляющего требуется включение в реестр и соответствие квалификационным требованиям — конкретный порядок на 2026 год «не подтверждено», требует проверки; консультирование кредиторов лицензии не требует.</t>
  </si>
  <si>
    <t>конфликт интересов и репутация: работа на кредитора против должника в маленькой стране означает наживать врагов среди влиятельных собственников.</t>
  </si>
  <si>
    <t>PRO-17</t>
  </si>
  <si>
    <t>Landing pad: инкорпорация, корпоративный секретарь и EOR для входящих иностранных компаний</t>
  </si>
  <si>
    <t>Профессиональные услуги для бизнеса (аутсорсинг back-office)</t>
  </si>
  <si>
    <t>«Одно окно» для иностранной компании, входящей в РУз: регистрация юрлица или представительства, банковский счёт, визы и разрешения на работу, корпоративный секретарь, юридический адрес, а до открытия юрлица — наём сотрудников через EOR.</t>
  </si>
  <si>
    <t>иностранные компании, выходящие на узбекский рынок (китайские и турецкие промышленники, корейские и японские подрядчики, европейские поставщики оборудования, индийские фарма- и IT-компании), а также иностранные работодатели, нанимающие узбекских специалистов удалённо.</t>
  </si>
  <si>
    <t>пакет инкорпорации $4–12 тыс. (оценка), корпоративный секретарь и юридический адрес $400–1200/мес., EOR $250–500 на сотрудника в месяц (рыночный ориентир: глобальные провайдеры берут от $400/сотрудник/мес. и от €199/сотрудник/мес.), миграционный пакет (виза + разрешение на работу) $1.5–4 тыс. на экспата.</t>
  </si>
  <si>
    <t>Иностранная компания, которая хочет проверить узбекский рынок, сталкивается с выбором: либо полгода регистрировать юрлицо, открывать счёт и разбираться с валютным контролем ради двух менеджеров, либо не выходить вовсе. Тем, кто вошёл, нужен постоянный «корпоративный тыл»: протоколы собраний, изменения в устав, продление разрешений, отчётность учредителю. Внутри страны эта функция обычно вешается на бухгалтера, который её не умеет, — и вскрывается на первой же проверке или при аудите материнской компании.</t>
  </si>
  <si>
    <t>Ставка на КОРИДОР, а не на «всех иностранцев». Выбираем 1–2 страны происхождения (например, Китай и Турция либо Корея и Япония) и строим под них полный сервис на родном языке клиента: менеджер говорит по-китайски/турецки, документы объясняются в логике их корпоративного права, платежи принимаются привычным способом. Далее: (1) EOR как «нулевой шаг» — клиент нанимает 1–5 человек через нас до создания юрлица; (2) инкорпорация с сопровождением банковского онбординга (реальное узкое место — комплаенс банка по иностранному бенефициару); (3) корпоративный секретарь по подписке; (4) миграция и релокация; (5) при росте — передача в бухгалтерское бюро (см. PRO-18). Модель — «лестница»: EOR превращается в юрлицо, юрлицо — в постоянного клиента на секретарстве и бухгалтерии.</t>
  </si>
  <si>
    <t>EOR за $250–500/чел./мес. против 4–8 месяцев и $15–30 тыс. (оценка) на самостоятельное открытие юрлица со счётом — при том, что на этапе разведки рынка компания вообще не готова к таким затратам. Экономия времени выхода на рынок с ~6 месяцев до ~2 недель — это то, что покупают.</t>
  </si>
  <si>
    <t>ближайшие игроки — глобальные EOR-платформы, уже покрывающие РУз (Multiplier — от $400/сотрудник/мес., Playroll, Atlas HXM, NNRoad, Team Up — €199/сотрудник/мес., RemotePeople), локальные: ANCOR (в РУз с 2018, payroll и HR-админ), Smart Solutions (EOR, аутстаффинг, payroll, миграция), Dataware (аутстаффинг и удалённый EOR), Marillion (учёт, payroll, HR), tax-legal.uz, юрфирмы Band 1 (делают инкорпорацию дорого и без последующего сервиса) | заменители — регистрация через «знакомого юриста», наём через дружественное узбекское юрлицо (серая схема с налоговым риском), отказ от выхода | почему свободно: рынок НЕ пустой — он занят двумя типами игроков, между которыми дыра: глобальные платформы дают дешёвый EOR, но не решают банк, визы, корпоративное собрание и переговоры с местным партнёром; локальные HR-провайдеры сильны в кадрах, но не в корпоративном праве и не говорят на языке клиента. Св…</t>
  </si>
  <si>
    <t>Dezan Shira &amp; Associates (основана 1992, Гонконг/Китай) — фирма, построенная ровно на модели «market entry + corporate establishment + accounting + tax» для иностранных инвесторов в Китае, затем Вьетнаме, Индии и ЮВА; выросла до множества офисов и сотен специалистов (численность — «оценка»). На постсоветском контуре — Konsu (Финляндия/Россия/Казахстан) и Acsour (400+ клиентов, включая компании из списка Fortune 500).</t>
  </si>
  <si>
    <t>(а) приватизация на $8+ млрд (УП-177 от 28.08.2026) плюс упрощение покупки земли для инвесторов (сентябрь 2026) прямо увеличивают число входящих иностранных юрлиц; (б) курс на членство в ВТО в 2026 году снижает страновой риск для консервативных инвесторов; (в) IT Park: льготная ставка налога на дивиденды нерезидентам-учредителям 5% с 01.02.2025 до 01.01.2040 — прямой стимул иностранцу структурировать бизнес именно в РУз; (г) инвестиции растут на 10.5% с фокусом на обработку и логистику.</t>
  </si>
  <si>
    <t>$50–100 тыс. — 2 юриста, менеджер-носитель целевого языка, миграционный специалист, офис с юридическим адресом, страхование ответственности; для EOR — резерв на кассовые разрывы по зарплатам (клиент платит авансом, но не всегда вовремя).</t>
  </si>
  <si>
    <t>EOR/аутстаффинг в РУз — деятельность по предоставлению персонала; наличие и вид разрешения «не подтверждено», требует проверки перед стартом; при обработке данных сотрудников — закон о персональных данных; валютный контроль при расчётах с нерезидентами.</t>
  </si>
  <si>
    <t>EOR — модель с балансовым риском: вы юридический работодатель, и при неплатеже клиента обязаны платить зарплату, налоги и выходные пособия сами.</t>
  </si>
  <si>
    <t>PRO-18</t>
  </si>
  <si>
    <t>Продуктизированное бухгалтерско-зарплатное бюро с гарантией комплаенса</t>
  </si>
  <si>
    <t>Бухгалтерия и расчёт зарплаты по подписке с фиксированной ценой по тарифным планам, отчётностью для собственника на английском и договорной гарантией: штраф налоговой по нашей вине — платим мы.</t>
  </si>
  <si>
    <t>малый и средний бизнес (упрощёнка, оборотный налог 4%), «дочки» иностранных компаний, резиденты IT Park, стартапы, франшизы, медицинские и образовательные центры.</t>
  </si>
  <si>
    <t>тарифы $150–400/мес. (микро), $500–1500/мес. (средний), $2–5 тыс./мес. (компания с иностранным учредителем и отчётностью на английском); payroll — $8–20 на расчётный лист в месяц (оценка); допродажи: восстановление учёта, налоговый чек-ап, сопровождение проверки.</t>
  </si>
  <si>
    <t>Бухгалтерия в узбекском МСБ — это «своя Гульнара», которая уходит в декрет вместе со всей базой знаний, знает НСБУ и не знает МСФО, считает зарплату в Excel и не видит разницы между налоговым риском и налоговым платежом. Собственник узнаёт о проблеме в момент проверки. Для резидента IT Park риск особый: нулевой налог на прибыль, нулевой соцналог и НДФЛ 7.5% действуют только при соблюдении условий статуса, и ошибка в учёте выручки/экспорта стоит всего льготного режима.</t>
  </si>
  <si>
    <t>Три отличия от обычной аутсорс-бухгалтерии. (1) Продукт, а не человек: тарифные планы с явным перечнем операций, SLA по срокам и один и тот же процесс для всех клиентов — это позволяет держать 1 бухгалтера на 12–18 микроклиентов вместо 4–6. (2) Гарантия: договорная компенсация штрафов и пеней, возникших по нашей вине, с покрытием через страхование профессиональной ответственности — это единственный по-настоящему дифференцирующий аргумент на рынке, где все говорят «мы надёжные». (3) Двухконтурная отчётность: налоговая — по НСБУ для государства, управленческая — в понятном собственнику формате (и на английском для иностранного учредителя), что закрывает вечный разрыв «бухгалтерия отдельно, бизнес отдельно». Отдельный вертикальный пакет — «IT Park compliance»: мониторинг доли экспорта в выручке помесячно с предупреждением, когда клиент идёт мимо норматива.</t>
  </si>
  <si>
    <t>$500/мес. подписки против $700–1200/мес. полной стоимости штатного бухгалтера с налогами, местом и отпуском (оценка) — и это без учёта риск-компоненты. Для резидента IT Park ценность считается иначе: потеря льгот означает переход с 0% на 15% налога на прибыль и с 0% на полный соцналог — для компании с ФОТ $1 млн в год это шестизначная сумма ежегодно.</t>
  </si>
  <si>
    <t>ближайшие игроки — Marillion (давняя локальная практика учёта, payroll и HR), tax-legal.uz, ANCOR Uzbekistan (payroll и HR-админ с 2018), Smart Solutions, сотни мелких бухгалтерских ИП и «бухгалтеров на дому», аудиторские фирмы с бухгалтерским крылом | заменители — штатный бухгалтер, «бухгалтер на полставки на три компании», 1С-франчайзи с абонементом | почему свободно: рынок огромный и полностью немасштабированный — все игроки продают ЧЕЛОВЕКА и ЧАСЫ, никто не продаёт ПРОДУКТ с гарантией; в Казахстане и России этот переход уже произошёл (Acsour, БПО), в РУз — ещё нет.</t>
  </si>
  <si>
    <t>Acsour (Россия/Казахстан) — аутсорсинг бухгалтерии, права и HR; более 400 клиентов, включая компании из списка Fortune 500, 12-е место в рейтинге RAEX крупнейших групп в области аутсорсинга учётных функций за 2021 год. Также BPO Kazakhstan и Konsu (Казахстан) — построены на той же модели «полный пакет back-office на двух языках для международных и локальных клиентов».</t>
  </si>
  <si>
    <t>(а) IT Park: обязательные доли экспорта в выручке 20% в 2026, 35% в 2027, 50% в 2028 — резиденты с выручкой от 100 млрд сум обязаны отслеживать этот показатель, а невыполнение ведёт к дополнительным взносам (сборы увеличиваются на 1%); льготы продлены до 01.01.2040, то есть клиентская база устойчива на 14 лет вперёд; (б) ожидаемый рост числа резидентов IT Park до 3000; (в) приток иностранных юрлиц на фоне приватизации и роста инвестиций (+10.5%); (г) параметры налогов известны и стабильны: оборотный 4%, прибыль 15%, НДС 12%.</t>
  </si>
  <si>
    <t>$40–90 тыс. — 4–6 бухгалтеров, методолог, лицензии 1С/локальной учётной системы, клиентский портал, страхование профессиональной ответственности (обязательный элемент продукта), маркетинг.</t>
  </si>
  <si>
    <t>ведение учёта по договору лицензии не требует; аудит — требует и несовместим; при расчёте зарплаты — обработка персональных данных сотрудников клиента (см. PRO-15).</t>
  </si>
  <si>
    <t>товарность услуги: если гарантию скопируют, единственным оружием останется цена, а на рынке с бухгалтером за $300/мес. ценовая война проигрышна.</t>
  </si>
  <si>
    <t>PRO-19</t>
  </si>
  <si>
    <t>Академия профессиональных финансов и качества (ACCA / DipIFR / CIA + GMP/QA)</t>
  </si>
  <si>
    <t>Профессиональные услуги для бизнеса (кадры и обучение профессионалов)</t>
  </si>
  <si>
    <t>Учебный центр, который готовит к международным профессиональным квалификациям (ACCA, DipIFR, CIA, CIMA) и параллельно ведёт прикладные корпоративные программы (GMP/QA, внутренний аудит, ТЦО, ESG), зарабатывая на связке «обучение → трудоустройство → корпоративные потоки».</t>
  </si>
  <si>
    <t>сами специалисты (розница), работодатели — банки, Big4, аудиторские и консалтинговые фирмы, фармзаводы, крупные группы (корпоративные потоки), а также государственные и донорские программы через ваучерные механизмы.</t>
  </si>
  <si>
    <t>розничный курс по одному предмету ACCA $300–700 за модуль (оценка), полный трек DipIFR $900–1500, корпоративный поток на 15–20 человек $8–25 тыс. за программу, прикладные курсы (GMP-инспекция, валидация, внутренний аудит) $250–500 с человека, подписка компаний на «непрерывное профобразование» персонала.</t>
  </si>
  <si>
    <t>Дефицит квалифицированных финансовых специалистов — не мнение, а зафиксированная проблема: Министерство занятости и сокращения бедности РУз, Ассоциация сертифицированных финансовых профессионалов Узбекистана (ACFP) и ACCA подписали меморандум о развитии навыков в финансах, рассчитанный на пять лет с марта 2026, с ваучерной схемой и трёхуровневой квалификационной программой на базе международных стандартов образования в области учёта. Причина проста: рынок капитала растёт (объём торгов ×6 за 2023–2025), МСФО становится языком сделок, а людей, умеющих её составлять, нет. Параллельно фарма требует QA-специалистов под GMP с 2026–2027, и их тоже нет.</t>
  </si>
  <si>
    <t>Не «ещё один курс», а машина занятости. (1) Подготовка к экзаменам с гарантией пересдачи (не сдал — учишься бесплатно): это стандарт в успешных азиатских академиях и резко повышает конверсию. (2) Преподаватели-практики из PRO-10/PRO-12/PRO-14 — обучение становится каналом привлечения клиентов и рекрутинга для собственных консалтинговых практик. (3) Корпоративные потоки: продаём банку или заводу не «курс», а закрытие кадровой дыры — программа под их процессы, с проектной работой на их данных. (4) Трудоустройство: база выпускников продаётся работодателям (см. PRO-20), и это отдельный поток дохода. (5) Прикладная вертикаль «качество»: GMP для операторов и QA, валидация, внутренний аудит по нацстандартам, ТЦО, CBAM — короткие дорогие курсы под свежие регуляторные требования, где конкурентов почти нет.</t>
  </si>
  <si>
    <t>Для специалиста: $900–1500 за DipIFR против роста зарплаты — на рынке МСФО-специалист стоит кратно дороже обычного бухгалтера («оценка», но именно эта разница движет розничным спросом). Для работодателя: корпоративный поток на 20 человек за $25 тыс. против попытки нанять 20 готовых специалистов, которых на рынке физически нет. Для государства и доноров: ваучерная схема ACCA/ACFP уже создана как механизм оплаты.</t>
  </si>
  <si>
    <t>ближайшие игроки — PwC's Academy (у Big4 в регионе есть собственные академии и они обучают рынок), ST Education and Knowledge (uz.st.education — ведёт курсы ACCA в Узбекистане), ACFP как профессиональная ассоциация, порядка 95 учебных центров в Ташкенте предлагают курсы бухучёта и CAP/CIPA (всего в Ташкенте ~621 учебный центр, по стране ~996) | заменители — самоподготовка по учебникам Kaplan/BPP, онлайн-курсы на английском, обучение за границей, CAP/CIPA как более дешёвая местная альтернатива | почему свободно: рынок ПЕРЕПОЛНЕН на уровне «курсы бухучёта» и почти пуст на уровне «международная квалификация + гарантия результата + трудоустройство»; плюс прикладная вертикаль (GMP/QA, внутренний аудит, ТЦО, CBAM) не покрыта никем, потому что для неё нужны практики, а не преподаватели.</t>
  </si>
  <si>
    <t>Smart Train (Вьетнам) — учебный центр, выросший на подготовке к ACCA/CFA/CMA во Вьетнаме в период интеграции страны в мировую экономику (масштаб — «оценка»). Более крупный эталон механики — SKANS School of Accountancy (Пакистан) и индийские академии подготовки к CA/ACCA, где подготовка к профессиональному экзамену стала самостоятельной индустрией с десятками тысяч платящих студентов.</t>
  </si>
  <si>
    <t>трёхсторонний меморандум Минзанятости РУз + ACFP + ACCA, действует пять лет с марта 2026, включает ваучерную схему и трёхуровневую квалификационную программу для финансово-экономических специалистов на базе международных стандартов образования; параллельно — рост рынка капитала (эмиссии 269.4 трлн сум на 01.07.2026, торги ×6 за 2023–2025) и обязательность GMP с 2026/2027, создающая спрос на QA-кадры; плюс национальные стандарты внутреннего аудита требуют обученных внутренних аудиторов.</t>
  </si>
  <si>
    <t>$50–120 тыс. — аудитории или гибридная платформа, лицензирование как approved learning partner (требования и взносы ACCA — «не подтверждено»), преподаватели-практики, учебные материалы, маркетинг.</t>
  </si>
  <si>
    <t>негосударственная образовательная деятельность в РУз требует соблюдения лицензионных/регистрационных требований (конкретный режим для курсов повышения квалификации — «не подтверждено»); статус Approved Learning Partner ACCA — отдельная аккредитация у самой ACCA.</t>
  </si>
  <si>
    <t>отток выпускников. Человек с ACCA легко уезжает в Дубай или Алматы; академия рискует обучать кадры для чужих рынков, а работодатели — перестать платить за обучение.</t>
  </si>
  <si>
    <t>PRO-20</t>
  </si>
  <si>
    <t>Executive search и аутстаффинг узких специалистов (QA, инженеры, регуляторика, финансы)</t>
  </si>
  <si>
    <t>Профессиональные услуги для бизнеса (кадры)</t>
  </si>
  <si>
    <t>Кадровое агентство, специализирующееся не на массовом подборе, а на редких профилях, которых в стране единицы — QA/QP для фармы, инженеры по валидации, специалисты по МСФО и ТЦО, экологи по стандартам МФО, FIDIC-инженеры, — с моделью «найди или вырасти и поставь в аутстафф».</t>
  </si>
  <si>
    <t>фармзаводы, промышленные группы, банки, консалтинговые и аудиторские фирмы, иностранные подрядчики на проектах МФО, IT Park-резиденты, а также сами кандидаты в части релокации внутри страны.</t>
  </si>
  <si>
    <t>классический recruitment fee 18–25% годового дохода кандидата, executive search на ретейнере $15–40 тыс. за позицию (оценка), аутстаффинг узкого специалиста — маржа 25–40% сверх его стоимости, «интерим-специалист на проект» (QA-менеджер на период подготовки к GMP, МСФО-специалист на период трансформации) — почасово с премией.</t>
  </si>
  <si>
    <t>Все идеи этой арены упираются в один и тот же дефицит: людей нет. В IT-секторе занятость порядка 6 000 человек — узкое место прямо названо кадрами, при этом обязательные доли экспорта требуют людей, умеющих работать с западным заказчиком. В фарме с 2026–2027 обязателен GMP, а QA-специалистов, прошедших реальную инспекцию, в стране единицы. В финансах ACCA/ACFP/Минзанятости подписали меморандум именно из-за нехватки квалифицированных специалистов. Работодатель сейчас либо переплачивает вслепую, либо ввозит человека из России/Индии за втрое большие деньги.</t>
  </si>
  <si>
    <t>Три отличия от ANCOR и Smart Solutions, которые сильны в массовом и профессиональном подборе. (1) Глубина, а не ширина: 5–7 профилей, по каждому — картированный рынок (поимённая база всех, кто в стране и в диаспоре занимается, например, валидацией или МСФО-трансформацией). Такой «карты» никто не держит, потому что для массового рекрутера профиль слишком узкий. (2) Диаспора как источник: узбекистанцы, работающие в фарме Индии/России/ОАЭ и в аудите Алматы/Дубая, — главный резерв; продукт «возвращение специалиста» включает переговоры о пакете, релокацию и адаптацию семьи. (3) Аутстаффинг и интерим: редкий специалист часто не нужен клиенту на полную ставку — нужен на 6 месяцев подготовки к сертификации; мы держим его в штате и продаём время нескольким клиентам, что даёт и специалисту достойный доход, и нам рекуррентную выручку. Плюс сцепка с PRO-19: кого не нашли — выращиваем через академию.</t>
  </si>
  <si>
    <t>Гонорар 20% годового дохода против срыва проекта. Для фармзавода отсутствие QA-менеджера означает несданную GMP-инспекцию и потерю регистраций (см. PRO-01) — цена несопоставима с гонораром. Для IT Park-резидента с выручкой от 100 млрд сум невыполнение экспортной доли ведёт к росту сборов; наём людей, способных продавать на западный рынок, — прямой способ выполнить норматив.</t>
  </si>
  <si>
    <t>ближайшие игроки — ANCOR Uzbekistan (в РУз с 2018, ATS Experium с базой резюме, покрывает FMCG, ритейл, агро, автопром, металлургию, энергетику, финансы, IT, телеком, логистику, фарму), Smart Solutions (позиционируется как HR-провайдер №1 в РУз: рекрутмент, аутстаффинг, payroll, миграция), Dataware (аутстаффинг и удалённый EOR), RemotePeople и глобальные площадки, внутренние HR-службы | заменители — поиск через LinkedIn и знакомых, переманивание у конкурента, ввоз экспата, обучение своего человека с нуля | почему свободно: крупные агентства зарабатывают на объёме и не окупают исследование рынка из 40 человек по стране; узкие профили требуют, чтобы рекрутер сам понимал разницу между IQ и OQ или между IFRS 9 и IFRS 16 — таких рекрутеров нет, и именно это создаёт защищаемую нишу.</t>
  </si>
  <si>
    <t>Andela (Нигерия/Африка) — построила бизнес на модели «найти/обучить редкий технический талант на развивающемся рынке и поставить его глобальному работодателю», привлекла крупные венчурные раунды и достигла оценки в миллиарды долларов (конкретные цифры раундов — «оценка»). На региональном уровне — ANCOR, выросший из российского рекрутмента в сеть по СНГ с офисами в Казахстане и Узбекистане, доказывает, что модель специализированного подбора в регионе окупается.</t>
  </si>
  <si>
    <t>(а) занятость в IT-секторе порядка 6 000 человек при обязательных долях экспорта 20/35/50% в 2026–2028 и планах роста до 3000 резидентов IT Park — арифметически кадровый разрыв неизбежен; (б) обязательность GMP с 01.01.2026 и 01.01.2027 создаёт мгновенный спрос на QA/QP; (в) меморандум ACCA/ACFP/Минзанятости от марта 2026 официально фиксирует дефицит финансовых кадров; (г) вход ЕБРР/IFC и рост проектов МФО требует E&amp;S- и FIDIC-специалистов, которых в стране единицы.</t>
  </si>
  <si>
    <t>$40–80 тыс. — 2 консультанта с отраслевым бэкграундом, 2 ресёрчера, ATS и подписки на базы, командировки в Алматы/Дубай для работы с диаспорой; для аутстаффинга дополнительно резерв на ФОТ размещённых специалистов.</t>
  </si>
  <si>
    <t>деятельность по оказанию услуг содействия занятости и по предоставлению персонала регулируется трудовым и миграционным законодательством; конкретный разрешительный режим для частных агентств занятости в РУз — «не подтверждено», требует проверки.</t>
  </si>
  <si>
    <t>каннибализация: разместив специалиста, вы теряете его как товар; при узком рынке из 40 кандидатов бизнес исчерпывает собственную базу за 2–3 года, если не строить канал выращивания (PRO-19).</t>
  </si>
  <si>
    <t>PRO-21</t>
  </si>
  <si>
    <t>Инженерный консалтинг: строительный контроль, FIDIC-администрирование и tender advisory</t>
  </si>
  <si>
    <t>Профессиональные услуги для бизнеса (инженерный и технический консалтинг)</t>
  </si>
  <si>
    <t>Инженерная фирма, выполняющая роль «Инженера» по контрактам FIDIC на проектах, финансируемых банками развития: технический надзор, администрирование контракта, оценка изменений и претензий (claims), а также подготовка тендерной документации и сопровождение участников торгов.</t>
  </si>
  <si>
    <t>заказчики проектов МФО (министерства, «Узсувтаъминот», энергетические и дорожные заказчики), генподрядчики (защита от claims и подготовка собственных претензий), инвесторы промышленных строек, банки, финансирующие стройку (lender's technical advisor).</t>
  </si>
  <si>
    <t>роль Инженера/технадзора на проекте — 2–5% от стоимости строительно-монтажных работ (международный ориентир, «оценка»), lender's technical advisor $30–90 тыс. за проект, подготовка claim или защита от него $20–80 тыс., tender advisory (подготовка заявки участника) $8–30 тыс. за тендер.</t>
  </si>
  <si>
    <t>Каждый проект ЕБРР/АБР/AIIB/ИБР в Узбекистане идёт по контрактам FIDIC (Red/Yellow Book) с обязательной фигурой Инженера. Узбекские подрядчики и заказчики в логике FIDIC не работают: не умеют вести переписку по срокам уведомлений (а пропуск срока по FIDIC убивает претензию целиком), не ведут contemporaneous records, не считают продление срока по методикам задержек. Результат — подрядчик теряет законные деньги, заказчик получает срыв сроков, а банк — проблемный проект. Параллельно государство ужесточило контроль в стройке: Указ Президента № УП-66 от 14.04.2025 «О мерах по эффективной организации государственного контроля в сфере строительства и ЖКХ» включает надзор за функционированием технического контроля заказчика, авторского надзора проектных организаций и системы внутреннего контроля подрядчика на объектах.</t>
  </si>
  <si>
    <t>Две ноги. (1) Инженер по FIDIC: сертифицированные специалисты (FIDIC-модули, желательно членство в профильных институтах), ведение контракта, выдача variations, определение по claims, ежемесячные сертификаты платежей. Отличие от узбекского технадзора, который проверяет качество бетона: мы управляем ДЕНЬГАМИ и СРОКОМ контракта. (2) Claims и delay analysis: количественный анализ задержек (window analysis, as-planned vs as-built), подготовка или разбор претензии, поддержка в арбитраже (см. связку с TIAC). Третий, входной продукт — tender advisory: помощь узбекскому подрядчику правильно собрать заявку на тендер МФО (это дёшево для нас и создаёт поток отношений с подрядчиками, которые потом покупают claims-услуги).</t>
  </si>
  <si>
    <t>2–5% стоимости СМР против типичных перерасходов и споров. Практический аргумент подрядчику: одна выигранная претензия на продление срока снимает штрафные санкции (liquidated damages), которые по FIDIC обычно ограничены 10% цены контракта, — на контракте в $20 млн это до $2 млн против гонорара в $20–80 тыс. Заказчику и банку продаётся другое: предсказуемость сроков и отсутствие арбитража.</t>
  </si>
  <si>
    <t>ближайшие игроки — международные инженерные консультанты (Dornier, Egis, SMEC, ILF, Mott MacDonald и др.), которые выигрывают крупные мандаты МФО, но привозят экспатов и стоят дорого; локальные организации технадзора (engineering-services.uz и подобные) — делают классический технадзор по узбекским нормам, не FIDIC; проектные институты; Big4 (инфраструктурный консалтинг на уровне финансовой модели, не на площадке) | заменители — технадзор силами штата заказчика, «решать вопросы» неформально, нанимать иностранного консультанта целиком | почему свободно: требуется редкая связка «узбекские СНиП и площадка + FIDIC и английский + количественный анализ задержек»; международные фирмы держат экспатов, что делает их дорогими на средних проектах, а локальные не поднимаются до контрактного администрирования. Ниша — средние проекты $5–50 млн, которых много и на которых экспаты нерентабельны.</t>
  </si>
  <si>
    <t>Польша 2004–2014: приход фондов ЕС создал целую профессию «Inżynier Kontraktu» (Инженер контракта) — вокруг FIDIC-контрактов на дорожных и коммунальных проектах выросли десятки локальных инженерно-консалтинговых фирм, часть в партнёрстве с международными (SAFEGE/Suez Consulting, Egis) — масштаб конкретных фирм «оценка». Турция: инженерные консультанты (Yüksel Proje, Temelsu) выросли на проектах международного финансирования и вышли на экспорт услуг в регион.</t>
  </si>
  <si>
    <t>УП-66 от 14.04.2025 о госконтроле в строительстве и ЖКХ (надзор за техконтролем заказчика, авторским надзором и внутренним контролем подрядчика); инвестиции растут на 10.5% с фокусом на стройку, логистику и урбанизацию; активное кредитование инфраструктуры со стороны ЕБРР/АБР/IFC (см. PRO-09), где FIDIC — обязательный стандарт; рост числа арбитражных дел в TIAC (43 заявки с иностранным элементом в 2024, по данным секретариата на январь 2025 — трёхкратный рост числа заявок за год) означает, что споры по строительным контрактам уже пошли в арбитраж.</t>
  </si>
  <si>
    <t>$70–150 тыс. — 3–4 инженера (в т.ч. один с реальным опытом FIDIC), квантити-сёрвейер, обучение и сертификация по FIDIC, ПО для планирования (Primavera/MS Project) и анализа задержек, транспорт, страхование профессиональной ответственности (для роли Инженера — обязательный элемент квалификации в тендерах МФО).</t>
  </si>
  <si>
    <t>технический надзор и инжиниринговые услуги в строительстве в РУз подлежат лицензированию/включению в реестр (конкретный режим на 2026 год — «не подтверждено»); для тендеров МФО решает не лицензия, а track record и CV команды.</t>
  </si>
  <si>
    <t>барьер референций: в тендерах МФО требуют опыт аналогичных проектов, которого у новой фирмы нет — первые 2–3 года придётся входить субподрядчиком к международному консультанту, отдавая маржу.</t>
  </si>
  <si>
    <t>PRO-22</t>
  </si>
  <si>
    <t>Энергоаудит и промышленная декарбонизация как сервис (ESCO-модель)</t>
  </si>
  <si>
    <t>Профессиональные услуги для бизнеса (инженерный консалтинг)</t>
  </si>
  <si>
    <t>Компания, которая проводит промышленные энергоаудиты, готовит проекты энергоэффективности и — на втором шаге — реализует их по ESCO-модели с оплатой из достигнутой экономии.</t>
  </si>
  <si>
    <t>промышленные предприятия из списка обязательного энергоаудита, крупные потребители энергии (цемент, металлургия, текстиль, пищевка, ГОКи), коммерческая недвижимость и торговые центры, банки и МФО, финансирующие «зелёные» проекты.</t>
  </si>
  <si>
    <t>энергоаудит промышленного предприятия $8–30 тыс. (оценка), детальное ТЭО по мероприятию $10–25 тыс., ESCO-контракт — 30–50% от достигнутой экономии в течение 3–5 лет, подписка на энергомониторинг $500–2000/мес.</t>
  </si>
  <si>
    <t>«Узэнергоинспекция» составила список из 317 предприятий, которые должны пройти энергоаудит. Для этих предприятий это обязанность с дедлайном, а компетентных исполнителей — единицы. Дальше начинается вторая, более крупная боль: аудит выявляет мероприятия, но у предприятия нет ни денег, ни желания вкладываться в котёл или частотные приводы — поэтому отчёт ложится на полку. Именно этот разрыв («аудит есть, внедрения нет») и есть рынок для ESCO. Дополнительный слой — новое регулирование энергоэффективности зданий: постановление Кабинета Министров от 14.05.2026 о (в том числе автоматизированной) оценке энергоэффективности зданий.</t>
  </si>
  <si>
    <t>Лестница из трёх ступеней. (1) Обязательный энергоаудит по требованию «Узэнергоинспекции» — дешёвый вход, обеспеченный регуляторикой; результат оформляется так, чтобы предприятие могло получить субсидию (компенсация 50% затрат на энергоаудит, но не более 100 млн сум на промышленное предприятие, при условии, что отчёт показывает экономию не менее 10%) — то есть половину нашего гонорара клиенту возвращает государство. (2) Инжиниринг: ТЭО по 3–5 приоритетным мероприятиям с расчётом окупаемости и, что важно, с расчётом снижения выбросов CO2 — те же цифры клиент потом использует для CBAM (PRO-08) и для «зелёного» займа (PRO-09). (3) ESCO: берём на себя капитал (свой или привлечённый через ЕБРР/АБР), внедряем, измеряем экономию по протоколу IPMVP и делим её. Это превращает консалтинг в бизнес с рекуррентной выручкой и активами.</t>
  </si>
  <si>
    <t>Аудит за $8–30 тыс., из которых 50% (до 100 млн сум) компенсирует государство, — то есть чистая цена для клиента почти вдвое ниже. По ESCO клиент не платит ничего авансом и получает часть экономии сразу: типичные промышленные мероприятия (приводы, компрессоры, пар, освещение, рекуперация) дают экономию 10–25% энергозатрат с окупаемостью 1.5–4 года («оценка», отраслевые ориентиры). Для энергоёмкого завода с энергозатратами $3 млн/год экономия в 15% — это $450 тыс./год.</t>
  </si>
  <si>
    <t>ближайшие игроки — «Узэнергоинспекция» (регулятор и составитель списка, не подрядчик), проектные и наладочные организации советского происхождения (умеют мерить, не умеют считать окупаемость и не берут риск), поставщики оборудования (делают «аудит» бесплатно, чтобы продать своё железо — конфликт интересов очевиден клиенту), международные ESCO — присутствие в РУз «не подтверждено» | заменители — формальный аудит «для галочки» ради отчёта в инспекцию, покупка оборудования по совету поставщика, ничего не делать | почему свободно: ESCO-модель требует одновременно инженерии, доступа к капиталу и доверия к измерению экономии — связки, которой в стране нет; при этом регулятор только что создал обязательный спрос на первую ступень (аудит), а банки развития готовы финансировать вторую.</t>
  </si>
  <si>
    <t>Турция — Закон об энергоэффективности № 5627 (2007) ввёл обязательные энергоаудиты для предприятий выше пороговых значений потребления и институт лицензированных компаний энергоэффективности (EVD), в результате чего сформировалась целая отрасль частных энергоаудиторов и ESCO (число компаний — «оценка»). Индия: Energy Efficiency Services Limited (EESL) реализовала программы энергоэффективности по модели оплаты из экономии в национальном масштабе, включая замену сотен миллионов ламп на LED — доказательство, что модель «оплата из экономии» работает на развивающемся рынке с низкой платёжеспособностью.</t>
  </si>
  <si>
    <t>«Узэнергоинспекция» опубликовала список из 317 предприятий, обязанных пройти энергоаудит; действует механизм компенсации 50% затрат на энергоаудит промышленного предприятия (не более 100 млн сум) при подтверждённой экономии не менее 10%; постановление КМ от 14.05.2026 об оценке энергоэффективности зданий; ПКМ № 221 от 04.05.2026 о внедрении ESG-стандартов; «зелёный» статус открывает кредитные линии ЕБРР, АБР, МФК на условиях лучше рыночных, а издержки покрываются грантами и технической помощью — то есть капитал для ESCO-плеча доступен на льготных условиях.</t>
  </si>
  <si>
    <t>$120–250 тыс. на аудиторскую часть (тепловизоры, анализаторы качества электроэнергии, расходомеры, газоанализаторы, 4–6 инженеров, аккредитация); для ESCO-плеча — отдельный капитал или партнёрство с банком (первые проекты $200–800 тыс. каждый, лучше привлекать под гарантию МФО, а не с баланса).</t>
  </si>
  <si>
    <t>энергоаудит в РУз проводится организациями, соответствующими установленным требованиям (аккредитация/включение в реестр — конкретный режим «не подтверждено»); измерительное оборудование подлежит поверке; ESCO-контракты требуют аккуратной налоговой и договорной структуры (признание выручки от экономии).</t>
  </si>
  <si>
    <t>измерение и доверие. В ESCO весь спор идёт о том, была ли экономия; без независимого протокола измерений (IPMVP) и корректной базовой линии клиент всегда найдёт причину не платить.</t>
  </si>
  <si>
    <t>Веса зафиксированы ДО генерации идей и до присвоения любых баллов</t>
  </si>
  <si>
    <t>Файл-первоисточник: work/state/02_weights_LOCKED.md. Подгонка весов после просмотра результатов превратила бы скоринг в оформление уже принятого решения.</t>
  </si>
  <si>
    <t>Ось</t>
  </si>
  <si>
    <t>Критерий</t>
  </si>
  <si>
    <t>Вес в оси</t>
  </si>
  <si>
    <t>Вес в итоге</t>
  </si>
  <si>
    <t>A — привлекательность рынка (70%)</t>
  </si>
  <si>
    <t>Экономика отрасли</t>
  </si>
  <si>
    <t>Размер рынка снизу вверх</t>
  </si>
  <si>
    <t>Окно «почему сейчас»</t>
  </si>
  <si>
    <t>Свободное место</t>
  </si>
  <si>
    <t>Барьеры в нашу пользу</t>
  </si>
  <si>
    <t>Готовность платить</t>
  </si>
  <si>
    <t>Потенциал выхода</t>
  </si>
  <si>
    <t>СУММА</t>
  </si>
  <si>
    <t>B — моя позиция (30%)</t>
  </si>
  <si>
    <t>Скорость до первого дохода</t>
  </si>
  <si>
    <t>Регуляторный доступ</t>
  </si>
  <si>
    <t>Финансовая экспертиза</t>
  </si>
  <si>
    <t>Доступ к сделкам и капиталу</t>
  </si>
  <si>
    <t>Отраслевой доступ через семью и друзей</t>
  </si>
  <si>
    <t>Команда закрывает продажи</t>
  </si>
  <si>
    <t>Соответствие стилю</t>
  </si>
  <si>
    <t>A (рынок)</t>
  </si>
  <si>
    <t>B (позиция)</t>
  </si>
  <si>
    <t>Быстрый итог</t>
  </si>
  <si>
    <t>В лонг-листе</t>
  </si>
  <si>
    <t>Обоснование одной строкой</t>
  </si>
  <si>
    <t>слит с REA-01</t>
  </si>
  <si>
    <t>Эскроу с 01.01.2026 -&gt; банкам нужен независимый контроль раскрытия траншей; точная копия 214-ФЗ РФ; СЛИВАЕТСЯ С REA-01</t>
  </si>
  <si>
    <t>ДА</t>
  </si>
  <si>
    <t>ДУБЛЬ FIN-20: банковский технадзор под эскроу; У НЕГО ПАРТНЁР-ИНЖЕНЕР-СТРОИТЕЛЬ</t>
  </si>
  <si>
    <t>ГЧП в вузах и медцентрах открыто 08.09.2026 + энергетика; ровно его 15 сделок на $250M+; мандатная модель, высокий чек, мало разговоров</t>
  </si>
  <si>
    <t>Закон в силе 29.06.2026, 10+ банков обязаны иметь шариатские советы СЕЙЧАС; AAOIFI CPSS — редчайший в стране мандат; ретейнер, без капзатрат</t>
  </si>
  <si>
    <t>УП-177 от 28.08.2026: 62 предприятия на торги 2026-2027, 100 трлн сум; это буквально его работа в Orient Group</t>
  </si>
  <si>
    <t>GMP обязателен, АРФО компенсирует затраты, У ОТЦА ДВА ЗАВОДА = первый клиент и референс; высокий чек</t>
  </si>
  <si>
    <t>слит с PRO-11</t>
  </si>
  <si>
    <t>Sell-side M&amp;A — его прямая работа; СЛИВАЕТСЯ С PRO-11</t>
  </si>
  <si>
    <t>МСФО-фабрика: ACCA + PwC = ровно его ремесло; окно = новый закон о рынке капитала</t>
  </si>
  <si>
    <t>Брокер проектного финансирования: застройщики потеряли деньги дольщиков и идут в банк — он знает обе стороны</t>
  </si>
  <si>
    <t>C&amp;I солнце+хранение: энергокризис (4 000 аварий), план +884 МВт хранения; но $1.5-5 млн</t>
  </si>
  <si>
    <t>Регуляторный агент: рекуррентная выручка с иностранных производителей, GMP выбрасывает сотни досье</t>
  </si>
  <si>
    <t>Реструктуризация: соединяет его финмодель и LLM по банковскому праву; кредиторы платят</t>
  </si>
  <si>
    <t>317 предприятий ОБЯЗАНЫ пройти энергоаудит + компенсация 50% затрат; переход в ESCO даёт долю экономии</t>
  </si>
  <si>
    <t>Энергосбыт/трейдер: НОВЫЙ лицензируемый вид деятельности, торговля — его язык; капитал $1-3 млн</t>
  </si>
  <si>
    <t>Эскроу заставляет банки требовать CAR/EAR — брокер спецлиний, низкий капитал, высокий чек</t>
  </si>
  <si>
    <t>Радиология в госбольницах по ГЧП — его сделочная компетенция + окно 08.09.2026; но капитал $3-6 млн</t>
  </si>
  <si>
    <t>468 госучреждений с ЖЁСТКИМИ сроками (55 до 01.04.2027, 413 до 2028) — разовый вал, низкий капитал</t>
  </si>
  <si>
    <t>E&amp;S для заёмщиков ЕБРР/IFC/АБР: банки развития платят, он знает их требования</t>
  </si>
  <si>
    <t>Сукук предусмотрен проектом закона, но эмитентов пока единицы — рынок впереди спроса</t>
  </si>
  <si>
    <t>IR-услуги: спрос идёт за IPO-волной, пока эмитентов мало</t>
  </si>
  <si>
    <t>Контрактное производство расходников — У ОТЦА УЖЕ ЗАВОД шприцев и систем; это не стартап, а расширение</t>
  </si>
  <si>
    <t>ТЦО-бутик: Deloitte-налоги в его биографии; рекуррентно и узко</t>
  </si>
  <si>
    <t>Счётчик как услуга: инфраструктурная рента на 8-10 лет, но капитал и госзависимость</t>
  </si>
  <si>
    <t>Экспортные квоты 20/35/50% — острая боль сотен резидентов; но продажи иностранцам он не вёл</t>
  </si>
  <si>
    <t>Валидация и холодовая цепь: инженерный сервис, повторяемый; смежно с фармой отца</t>
  </si>
  <si>
    <t>ВТО-практика: success fee от возвратов, но нужны экс-таможенники</t>
  </si>
  <si>
    <t>CBAM: острое окно 01.01.2026, но узкий круг экспортёров в ЕС</t>
  </si>
  <si>
    <t>FIDIC-инженер: У НЕГО ДВА ПАРТНЁРА-ИНЖЕНЕРА (авиа и строй); проекты МФО платят по международным ставкам</t>
  </si>
  <si>
    <t>ЗПИФ недвижимости: его компетенция, но нужен фонд от $10 млн</t>
  </si>
  <si>
    <t>Private credit/RBF: компетенция есть, нужен фонд от $15 млн</t>
  </si>
  <si>
    <t>Внутренний аудит на аутсорсе: его квалификация, рекуррентно, но чек средний</t>
  </si>
  <si>
    <t>Диализ под бюджет — отличная экономика, но $1.5-3 млн и медицинские операции</t>
  </si>
  <si>
    <t>Холодильники: только 5% складов пригодны, потери $1.2-1.7 млрд — огромная дыра; но $2-6 млн капзатрат</t>
  </si>
  <si>
    <t>Факторинг разрешён НКО с 01.01.2025, но это балансовый бизнес: $1-3 млн капитала</t>
  </si>
  <si>
    <t>слит с AGR-03</t>
  </si>
  <si>
    <t>Складские свидетельства; ПЕРЕСЕКАЕТСЯ С AGR-03</t>
  </si>
  <si>
    <t>Исламское окно как SaaS: окно острое и его шариатский мандат в тему, но это банковский софт — 12-18 мес разработки</t>
  </si>
  <si>
    <t>CRO биоэквивалентность: смежно с фармой отца, но госцентр в Tashkent Farma Park — прямой конкурент</t>
  </si>
  <si>
    <t>Складские свидетельства + контроль залога: банки платят, лёгкий вариант $0.5-1.5 млн</t>
  </si>
  <si>
    <t>Интеллидженс-бутик: корпоративные расследования, integrity DD контрагентов и рыночная раз…</t>
  </si>
  <si>
    <t>Интеллидженс-бутик: высокий чек, мало разговоров; но репутационно рискованно</t>
  </si>
  <si>
    <t>Академия ACCA: меморандум с Минзанятости, но это обучение = много часов у доски</t>
  </si>
  <si>
    <t>Халяль SMIIC: связано с его шариатским мандатом, но чек ниже</t>
  </si>
  <si>
    <t>Landing pad EOR: глобальные платформы уже покрывают РУз</t>
  </si>
  <si>
    <t>Фабрика оценки: поточный бизнес, конкуренция сотен мелких фирм</t>
  </si>
  <si>
    <t>MSSP/SOC: УП-38 прямо зовёт частный сектор, но нужны дежурные смены 24/7 и сертификации</t>
  </si>
  <si>
    <t>Медотходы: лицензия + промплощадка</t>
  </si>
  <si>
    <t>Лаборатория 17025: $0.4-1.2 млн капзатрат</t>
  </si>
  <si>
    <t>T&amp;D EPC: подрядный бизнес с кассовыми разрывами</t>
  </si>
  <si>
    <t>Термез: сильное окно, но геополитический риск Афганистана</t>
  </si>
  <si>
    <t>Весогабаритный контроль: концессия $5-20 млн, политический риск</t>
  </si>
  <si>
    <t>Альтданные: зависит от доступа к госреестрам, длинный путь</t>
  </si>
  <si>
    <t>RegTech-отчётность: нужен доступ к регуляторам, долгий цикл продаж</t>
  </si>
  <si>
    <t>Лизинг медоборудования: нужен доступ к фондированию — он есть, но капитал $3-10 млн</t>
  </si>
  <si>
    <t>Рыночные данные: маленький рынок, но высокая маржа; спрос вторичен к ликвидности</t>
  </si>
  <si>
    <t>Амбулаторная хирургия: капзатраты и медменеджмент</t>
  </si>
  <si>
    <t>Реабилитация: хорошая модель, но операционно тяжёлая</t>
  </si>
  <si>
    <t>Референс-лаборатория: $2-4 млн и франшизная сеть = много разговоров</t>
  </si>
  <si>
    <t>Академия медсестёр: сильное окно, но массовый рекрутинг = много разговоров</t>
  </si>
  <si>
    <t>Колледж под экспорт кадров: окно 01.01.2026 (оргнабор частникам), но массовый рекрутинг</t>
  </si>
  <si>
    <t>Такафул логичен, но лицензия и капитал $0.3-5 млн, длинный путь до выручки</t>
  </si>
  <si>
    <t>Лизинг оборудования — капиталоёмко, конкуренция дочек банков</t>
  </si>
  <si>
    <t>Bench-агрегатор требует западных продаж — его слабое место</t>
  </si>
  <si>
    <t>eKYC/AML: инфраструктурная зависимость от MyID и госреестров</t>
  </si>
  <si>
    <t>Сервис медтехники: смежно с заводами отца, но много мелких клиентов</t>
  </si>
  <si>
    <t>Текстиль BSCI: GSP+ истекает 2027 — окно есть, но клиенты торгуются</t>
  </si>
  <si>
    <t>Privacy/DPO: Pactum уже продаёт это</t>
  </si>
  <si>
    <t>Актуарии дефицитны, но рынок узкий</t>
  </si>
  <si>
    <t>B2B BNPL: Alif и Uzum окопались, нужен капитал и массовые продажи</t>
  </si>
  <si>
    <t>Медгазы: капитал и техобслуживание</t>
  </si>
  <si>
    <t>Франшиза западного вуза: компенсация роялти — сильное окно, но $3-8 млн и долгий цикл</t>
  </si>
  <si>
    <t>Регистратор конкурирует с Центральным депозитарием и банками-депозитариями</t>
  </si>
  <si>
    <t>Бухбюро: низкий чек, высокая частота — против стиля</t>
  </si>
  <si>
    <t>Онкоцентр $8-15 млн — вне его капитала</t>
  </si>
  <si>
    <t>Переводы: лицензии в коридорах отправки, капитал, массовые операции — против стиля</t>
  </si>
  <si>
    <t>Data BPO: сотни рабочих мест, низкий чек, много управления людьми — против стиля</t>
  </si>
  <si>
    <t>OCR: то же, deep tech без команды</t>
  </si>
  <si>
    <t>B2B-маркетплейс стройматериалов: оборотный капитал доминирует</t>
  </si>
  <si>
    <t>Платформа мигрантов: массовый низкочековый продукт</t>
  </si>
  <si>
    <t>ЭКО: конкурентный Ташкент</t>
  </si>
  <si>
    <t>Больничный аутсорсинг: промышленные операции</t>
  </si>
  <si>
    <t>Рефрижераторы: парк техники</t>
  </si>
  <si>
    <t>EPR/рециклинг: завод и регуляторная неопределённость</t>
  </si>
  <si>
    <t>Executive search: ANCOR и другие уже есть</t>
  </si>
  <si>
    <t>Речевой стек: глубокий ML, нет команды такого уровня</t>
  </si>
  <si>
    <t>Контрактное фермерство: авансы фермерам, полевая работа</t>
  </si>
  <si>
    <t>Цифровой брокер грузов: оборотный капитал под быстрые выплаты</t>
  </si>
  <si>
    <t>Эквайринг: Payme/Click/Uzum доминируют</t>
  </si>
  <si>
    <t>Венчур-студия: длинный цикл, распылённый фокус</t>
  </si>
  <si>
    <t>Экспортная инженерная студия под Залив: product studio + staff augmentation + QA/локализа…</t>
  </si>
  <si>
    <t>Студия под Залив: продажи в GCC без сети — тяжело</t>
  </si>
  <si>
    <t>Юридический ИИ: конкуренция с Norma.uz, длинная разработка</t>
  </si>
  <si>
    <t>SaaS для аптек: 1С-франчайзи и самописное окопались</t>
  </si>
  <si>
    <t>Медицинский ИИ: регуляторика + ML, долго</t>
  </si>
  <si>
    <t>E-pharmacy: OlamPharm и Oxy Med окопались</t>
  </si>
  <si>
    <t>Патронаж: низкий чек, высокая частота</t>
  </si>
  <si>
    <t>K-12: капитал и операционка</t>
  </si>
  <si>
    <t>УК малых отелей: много мелких собственников = много разговоров</t>
  </si>
  <si>
    <t>Медтуризм: посреднический бизнес с низким барьером</t>
  </si>
  <si>
    <t>DOOH в лифтах: договоры с сотнями УК</t>
  </si>
  <si>
    <t>Автосервис: операционный бизнес, много точек и людей</t>
  </si>
  <si>
    <t>B2B FMCG: оборотный капитал и торговые представители</t>
  </si>
  <si>
    <t>E-commerce enabler: низкий барьер входа</t>
  </si>
  <si>
    <t>Прачечная: промышленные операции</t>
  </si>
  <si>
    <t>Бытовые услуги: низкий чек, высокая частота — прямо против стиля</t>
  </si>
  <si>
    <t>Медиасеть: работа с блогерами = максимум разговоров</t>
  </si>
  <si>
    <t>Три независимых прохода: P1 «база», P2 «скептик» (ищет завышения), P3 «арбитр» (перечитывает свидетельства заново с учётом круга критики)</t>
  </si>
  <si>
    <t>Идея</t>
  </si>
  <si>
    <t>Вес</t>
  </si>
  <si>
    <t>P1 база</t>
  </si>
  <si>
    <t>P2 скептик</t>
  </si>
  <si>
    <t>P3 арбитр</t>
  </si>
  <si>
    <t>Среднее</t>
  </si>
  <si>
    <t>Мин</t>
  </si>
  <si>
    <t>Макс</t>
  </si>
  <si>
    <t>Размах</t>
  </si>
  <si>
    <t>Ст.откл</t>
  </si>
  <si>
    <t>FIN-01+</t>
  </si>
  <si>
    <t>ИСЛАМСКАЯ ФИНАНСОВАЯ ПРАКТИКА ЦЕЛИКОМ (советы + аудит + сер…</t>
  </si>
  <si>
    <t>A1 Экономика отрасли</t>
  </si>
  <si>
    <t>A2 Размер рынка снизу вверх</t>
  </si>
  <si>
    <t>A3 Окно «почему сейчас»</t>
  </si>
  <si>
    <t>A4 Свободное место</t>
  </si>
  <si>
    <t>A5 Барьеры в нашу пользу</t>
  </si>
  <si>
    <t>A6 Готовность платить</t>
  </si>
  <si>
    <t>A7 Потенциал выхода</t>
  </si>
  <si>
    <t>B1 Скорость до первого дохода</t>
  </si>
  <si>
    <t>B2 Регуляторный доступ</t>
  </si>
  <si>
    <t>B3 Финансовая экспертиза</t>
  </si>
  <si>
    <t>B4 Доступ к сделкам и капиталу</t>
  </si>
  <si>
    <t>B5 Отраслевой доступ</t>
  </si>
  <si>
    <t>B6 Команда закрывает продажи</t>
  </si>
  <si>
    <t>B7 Соответствие стилю</t>
  </si>
  <si>
    <t>ИТОГ ОСЬ A</t>
  </si>
  <si>
    <t>ИТОГ ОСЬ B</t>
  </si>
  <si>
    <t>ИТОГО 0.7A+0.3B</t>
  </si>
  <si>
    <t>Шариатский аудит, места в шариатских советах, сертификация …</t>
  </si>
  <si>
    <t>Советник по ГЧП и проектному финансированию</t>
  </si>
  <si>
    <t>Sell-side advisory и предпродажная подготовка госактивов</t>
  </si>
  <si>
    <t>C&amp;I солнце + накопители по PPA</t>
  </si>
  <si>
    <t>Энергоаудит и промышленная энергоэффективность</t>
  </si>
  <si>
    <t>Страховой брокер спецлиний (CAR/EAR, карго, D&amp;O)</t>
  </si>
  <si>
    <t>Сукук-структурирование и исламский лизинг</t>
  </si>
  <si>
    <t>E&amp;S-консалтинг для заёмщиков ЕБРР/IFC/АБР</t>
  </si>
  <si>
    <t>Контрактное производство одноразовых медизделий</t>
  </si>
  <si>
    <t>ТЦО-бутик: контролируемые сделки</t>
  </si>
  <si>
    <t>Регуляторный агент: регистрация ЛС и медизделий</t>
  </si>
  <si>
    <t>Стройконтроль в интересах банка под эскроу</t>
  </si>
  <si>
    <t>МСФО-фабрика и подготовка эмитентов</t>
  </si>
  <si>
    <t>GMP-подготовка фармпроизводств</t>
  </si>
  <si>
    <t>#</t>
  </si>
  <si>
    <t>Ось A</t>
  </si>
  <si>
    <t>Ось B</t>
  </si>
  <si>
    <t>ИТОГО</t>
  </si>
  <si>
    <t>Размах итога</t>
  </si>
  <si>
    <t>Полоса A</t>
  </si>
  <si>
    <t>Полоса B</t>
  </si>
  <si>
    <t>Клетка матрицы</t>
  </si>
  <si>
    <t>ИСЛАМСКАЯ ФИНАНСОВАЯ ПРАКТИКА ЦЕЛИКОМ (советы + аудит + сертификация + сукук)</t>
  </si>
  <si>
    <t>высокая</t>
  </si>
  <si>
    <t>Инвестировать/расти</t>
  </si>
  <si>
    <t>Шариатский аудит, места в шариатских советах, сертификация продуктов</t>
  </si>
  <si>
    <t>средняя</t>
  </si>
  <si>
    <t>Избирательно</t>
  </si>
  <si>
    <t>МАТРИЦА ДЕВЯТИ КЛЕТОК (по строкам — привлекательность рынка, по столбцам — моя позиция)</t>
  </si>
  <si>
    <t>Позиция: высокая</t>
  </si>
  <si>
    <t>Позиция: средняя</t>
  </si>
  <si>
    <t>Позиция: низкая</t>
  </si>
  <si>
    <t>Рынок: высокая</t>
  </si>
  <si>
    <t>FIN-01+, FIN-01</t>
  </si>
  <si>
    <t>—</t>
  </si>
  <si>
    <t>Рынок: средняя</t>
  </si>
  <si>
    <t>FIN-19, PRO-11, PRO-16, FIN-03, PRO-10</t>
  </si>
  <si>
    <t>IND-01, PRO-22, FIN-11, PRO-09, MED-12, MED-08, PRO-14, PRO-03, REA-01, PRO-01</t>
  </si>
  <si>
    <t>Рынок: низкая</t>
  </si>
  <si>
    <t>Границы полос: низкая 1.00-4.33, средняя 4.34-6.66, высокая 6.67-10.00</t>
  </si>
  <si>
    <t>Две методологические поправки, принятые от критики: (1) критерий A5 «барьеры в НАШУ пользу» — это ось позиции, а не привлекательности отрасли, поэтому перенесён на ось B (иначе про основателя весило 38.4%, а не заявленные 30%); (2) «потенциал выхода» весил лишь 5.6%, хотя заказчик просил опцион на выход — добавлены ВОРОТА: минимум 5 из 10.</t>
  </si>
  <si>
    <t>Новое место</t>
  </si>
  <si>
    <t>Старое место</t>
  </si>
  <si>
    <t>Итог после переноса A5</t>
  </si>
  <si>
    <t>Потенциал выхода (A7)</t>
  </si>
  <si>
    <t>Ворота по выходу</t>
  </si>
  <si>
    <t>отсеян</t>
  </si>
  <si>
    <t>ПРОШЁЛ</t>
  </si>
  <si>
    <t>20 000 прогонов на сценарий, помесячно, 60 месяцев. Ставка дисконтирования 19.7% = доходность сумового депозита. Поэтому NPV &gt; 0 буквально означает «обогнали депозит».</t>
  </si>
  <si>
    <t>Сценарий</t>
  </si>
  <si>
    <t>Выживание 60 мес</t>
  </si>
  <si>
    <t>Ожидаемый NPV</t>
  </si>
  <si>
    <t>Медиана NPV</t>
  </si>
  <si>
    <t>NPV | выжил</t>
  </si>
  <si>
    <t>P(NPV&gt;0)</t>
  </si>
  <si>
    <t>NPV p5</t>
  </si>
  <si>
    <t>NPV p25</t>
  </si>
  <si>
    <t>NPV p75</t>
  </si>
  <si>
    <t>NPV p95</t>
  </si>
  <si>
    <t>Убыток при провале</t>
  </si>
  <si>
    <t>Неплатёжеспособность</t>
  </si>
  <si>
    <t>Закрылся сам</t>
  </si>
  <si>
    <t>Не запустился</t>
  </si>
  <si>
    <t>Пик капитала (сред.)</t>
  </si>
  <si>
    <t>Пик капитала p90</t>
  </si>
  <si>
    <t>Выручка год 5 (мед., выжившие)</t>
  </si>
  <si>
    <t>Страховой брокер спецлиний: строймонтаж, грузы, ответственность дирек…</t>
  </si>
  <si>
    <t>База</t>
  </si>
  <si>
    <t>Минус ваша зарплата $4 000/мес</t>
  </si>
  <si>
    <t>Девальвация сума 8%/год</t>
  </si>
  <si>
    <t>Жёсткая конкуренция</t>
  </si>
  <si>
    <t>Окно открывается медленно</t>
  </si>
  <si>
    <t>BOUTIQUE-balanced</t>
  </si>
  <si>
    <t>Сделочный бутик: сбалансированное сведение</t>
  </si>
  <si>
    <t>BOUTIQUE</t>
  </si>
  <si>
    <t>Сделочный бутик: ГЧП + проектное финансирование застройщиков + приват…</t>
  </si>
  <si>
    <t>Советник по ГЧП и проектному финансированию (вузы, медцентры, энергет…</t>
  </si>
  <si>
    <t>Исламская финансовая практика (шариатские советы, аудит, сертификация…</t>
  </si>
  <si>
    <t>FIN-01-FINAL</t>
  </si>
  <si>
    <t>Исламская практика — ФИНАЛ после сведения аудитора и защиты (28 пункт…</t>
  </si>
  <si>
    <t>FIN-01-balanced</t>
  </si>
  <si>
    <t>Исламская практика: сбалансированное сведение (юридические факты прин…</t>
  </si>
  <si>
    <t>FIN-01-solo</t>
  </si>
  <si>
    <t>Исламская практика как ЛИЧНАЯ ПРАКТИКА (основатель + помощник, без фи…</t>
  </si>
  <si>
    <t>FIN-01-recon</t>
  </si>
  <si>
    <t>Исламская практика ПОСЛЕ СВЕДЕНИЯ КРИТИКИ (без кресел в совете)</t>
  </si>
  <si>
    <t>C&amp;I солнце с накопителями по PPA (его доля как девелопера)</t>
  </si>
  <si>
    <t>Контрактное производство одноразовых медизделий (на базе завода отца)</t>
  </si>
  <si>
    <t>PRO-22-lean</t>
  </si>
  <si>
    <t>Энергоаудит, ЛЁГКИЙ вариант: приборы в аренду вместо покупки</t>
  </si>
  <si>
    <t>Помесячная траектория по победителю (FIN-11), базовый сценарий. Показаны квартили ПО ВЫЖИВШИМ на каждый месяц плюс доля выживших.</t>
  </si>
  <si>
    <t>Месяц</t>
  </si>
  <si>
    <t>Доля живых</t>
  </si>
  <si>
    <t>Клиентов (мед.)</t>
  </si>
  <si>
    <t>Выручка p25</t>
  </si>
  <si>
    <t>Выручка медиана</t>
  </si>
  <si>
    <t>Выручка p75</t>
  </si>
  <si>
    <t>EBITDA p25</t>
  </si>
  <si>
    <t>EBITDA медиана</t>
  </si>
  <si>
    <t>EBITDA p75</t>
  </si>
  <si>
    <t>Касса медиана</t>
  </si>
  <si>
    <t>Сотрудников (мед.)</t>
  </si>
  <si>
    <t>Вложено капитала (мед.)</t>
  </si>
  <si>
    <t>Налоги (мед.)</t>
  </si>
  <si>
    <t>Распределение NPV по 20 000 прогонов, FIN-11, базовый сценарий. Матожидание выше медианы — прибыль создаёт правый хвост, а не типичный исход.</t>
  </si>
  <si>
    <t>Перцентиль</t>
  </si>
  <si>
    <t>NPV, USD</t>
  </si>
  <si>
    <t>Гистограмма исходов (значения обрезаны диапазоном -$300 тыс. … $4 млн)</t>
  </si>
  <si>
    <t>Центр корзины, USD</t>
  </si>
  <si>
    <t>Число прогонов</t>
  </si>
  <si>
    <t>Торнадо по победителю. База: ожидаемый NPV $213,800. Каждый параметр сдвинут в плохую и хорошую сторону, остальные на месте.</t>
  </si>
  <si>
    <t>Параметр</t>
  </si>
  <si>
    <t>NPV при плохом значении</t>
  </si>
  <si>
    <t>NPV при хорошем значении</t>
  </si>
  <si>
    <t>Отклонение вниз</t>
  </si>
  <si>
    <t>Отклонение вверх</t>
  </si>
  <si>
    <t>Стоимость привлечения (CAC)</t>
  </si>
  <si>
    <t>Средняя комиссия с клиента</t>
  </si>
  <si>
    <t>Задержка запуска</t>
  </si>
  <si>
    <t>Валовая маржа</t>
  </si>
  <si>
    <t>Мультипликатор выхода</t>
  </si>
  <si>
    <t>Отток клиентов</t>
  </si>
  <si>
    <t>Стоимость сотрудника</t>
  </si>
  <si>
    <t>Конверсия в сделку (win rate)</t>
  </si>
  <si>
    <t>Размер рынка (число объектов)</t>
  </si>
  <si>
    <t>Постоянные расходы</t>
  </si>
  <si>
    <t>Срок оплаты счетов (DSO)</t>
  </si>
  <si>
    <t>Клиентов на сотрудника</t>
  </si>
  <si>
    <t>Мощность основателя</t>
  </si>
  <si>
    <t>Круги критики и что из-за них изменилось</t>
  </si>
  <si>
    <t>Круг 1. Полевая проверка ниш</t>
  </si>
  <si>
    <t># КРУГ КРИТИКИ 1: ПОЛЕВАЯ ПРОВЕРКА НИШ ВЕБ-ПОИСКОМ</t>
  </si>
  <si>
    <t>Инструмент: только WebSearch (первоисточники недоступны). Уровни достоверности [A]-[D].</t>
  </si>
  <si>
    <t>Принцип: проверяющий вознаграждается за найденные завышения, а не за подтверждения.</t>
  </si>
  <si>
    <t>## FIN-01 Шариатский аудит и места в шариатских советах — ОКНО ПОДТВЕРЖДЕНО, «пустое поле» ОПРОВЕРГНУТО</t>
  </si>
  <si>
    <t>ПОДТВЕРЖДЕНО [A]:</t>
  </si>
  <si>
    <t>- ЗРУ-1126: принят Законодательной палатой 11.11.2025, одобрен Сенатом 05.02.2026,</t>
  </si>
  <si>
    <t>подписан 27.03.2026, ВСТУПИЛ В СИЛУ 29.06.2026. Это ПАКЕТ ПОПРАВОК в НК, ГК и 7 актов,</t>
  </si>
  <si>
    <t>а НЕ отдельный «закон об исламском банкинге» — формулировку в отчёте не завышать.</t>
  </si>
  <si>
    <t>- Совет по исламским финансам при ЦБ создан, состав опубликован 15.07.2026.</t>
  </si>
  <si>
    <t>- ЦБ утвердил правила лицензирования и управления для исламских банков и «исламских окон».</t>
  </si>
  <si>
    <t>- ТРЕБОВАНИЯ К БАНКУ: шариатский совет НЕ МЕНЕЕ 3 ЧЕЛОВЕК; отдельный руководитель</t>
  </si>
  <si>
    <t>направления; служба внутреннего шариатского контроля; политика шариат-комплаенса.</t>
  </si>
  <si>
    <t>- КВАЛИФИКАЦИЯ: высшее образование по экономике или фикху. КАК МИНИМУМ ОДИН член совета</t>
  </si>
  <si>
    <t>обязан иметь сертификат AAOIFI УЖЕ СЕЙЧАС; С 01.07.2027 — ВСЕ ЧЛЕНЫ обязаны иметь</t>
  </si>
  <si>
    <t>минимум один из ЧЕТЫРЁХ сертификатов AAOIFI.</t>
  </si>
  <si>
    <t>- ЧЕТЫРЕ СЕРТИФИКАТА AAOIFI включают CPSS (Certificate of Proficiency in Shari'ah Standards).</t>
  </si>
  <si>
    <t>CPSS + CPSAGE дают статус CSAA (Certified Shari'ah Adviser &amp; Auditor) — профильный</t>
  </si>
  <si>
    <t>статус именно для шариатского консультирования. ЗНАЧИТ: имеющийся у заказчика CPSS —</t>
  </si>
  <si>
    <t>это ровно тот дефицитный допуск, который закон делает обязательным, с датой 01.07.2027.</t>
  </si>
  <si>
    <t>ОПРОВЕРГНУТО [A] — поле НЕ пустое, конкуренты названы поимённо:</t>
  </si>
  <si>
    <t>- Mezon Kengashi (mezonkengashi.uz) — шариатский аудит, сертификация, обучение, споры. Работает.</t>
  </si>
  <si>
    <t>- Orient Audit Group — Ахрорджон Садуллаев, ЧЛЕН СОВЕТА ПРИ ЦБ. То есть игрок, сидящий</t>
  </si>
  <si>
    <t>одновременно на стороне регулятора и рынка. Это самый опасный конкурент.</t>
  </si>
  <si>
    <t>- Amanah Consultings Group (amanahconsultings.uz) — локальная.</t>
  </si>
  <si>
    <t>- AlHuda CIBE (Пакистан) — ведёт переговоры с местными банками.</t>
  </si>
  <si>
    <t>- Al Muamalat Consulting, Amanie Advisors, Amanah Advisors.</t>
  </si>
  <si>
    <t>- Центр AAOIFI в РУз работает с 2022, обучает CIPA/CSAA/CPFAS -&gt; предложение сертифицированных</t>
  </si>
  <si>
    <t>людей РАСТЁТ, дефицит со временем размывается. Окно закрывается примерно к 01.07.2027.</t>
  </si>
  <si>
    <t>ТРЕБУЕТ ПРОВЕРКИ ПЕРЕД ДЕНЬГАМИ [C]:</t>
  </si>
  <si>
    <t>- Сколько советов может занимать ОДИН человек (в других юрисдикциях ограничения бывают).</t>
  </si>
  <si>
    <t>- Признаёт ли ЦБ РУз именно CPSS (а не только CSAA) как достаточный сертификат.</t>
  </si>
  <si>
    <t>- Есть ли требование к стажу/резидентству.</t>
  </si>
  <si>
    <t>ВЕРДИКТ: ПОДТВЕРЖДЕНО ЧАСТИЧНО. Окно реальное, дефицитное и датированное; ниша НЕ пустая.</t>
  </si>
  <si>
    <t>## REA-01 Стройконтроль в интересах банка под эскроу — СЕРЬЁЗНО ПОДОРВАНО</t>
  </si>
  <si>
    <t>- База: УП-11 от 27.01.2025. Переход 01.07.2025-31.12.2025, эскроу как единственный способ с 01.01.2026.</t>
  </si>
  <si>
    <t>- НО [A]: в начале января 2026 Минюст сообщил, что требование ЕЩЁ НЕ вступило в силу;</t>
  </si>
  <si>
    <t>полноценный запуск сдвинут на 01.07.2026, законопроект в этот момент ещё ГОТОВИЛСЯ.</t>
  </si>
  <si>
    <t>Часть «доказательной базы» под идеей просто перепутала 2025 и 2026 год.</t>
  </si>
  <si>
    <t>- НО [A]: эскроу НЕ ЗАТРАГИВАЕТ уже начатые проекты — поток объектов нарастает медленно,</t>
  </si>
  <si>
    <t>первый год рынок тонкий. Это убивает тезис о скачке спроса с даты X.</t>
  </si>
  <si>
    <t>- НО [A]: перечень уполномоченных банков в открытом доступе НЕ НАЙДЕН. Продавать пока некому:</t>
  </si>
  <si>
    <t>адресат — не «банки вообще», а конкретные 5-10 банков из неопубликованного списка.</t>
  </si>
  <si>
    <t>- НО [A]: технадзор — существующий рынок: Quality Control System (infoqcs.uz),</t>
  </si>
  <si>
    <t>Engineering Services (engineering-services.uz), и главное — SQB Consulting (sqbc.uz),</t>
  </si>
  <si>
    <t>структура в орбите Узпромстройбанка. То есть БАНК УЖЕ ИМЕЕТ СВОЙ ТЕХКОНТРОЛЬ.</t>
  </si>
  <si>
    <t>- НО [A], самое тяжёлое: в России после 214-ФЗ Банк ДОМ.РФ проводит стройаудит и мониторинг</t>
  </si>
  <si>
    <t>САМ и оказывает агентские услуги по стройконтролю. То есть доказанный аналог показывает,</t>
  </si>
  <si>
    <t>что маржа ушла ВНУТРЬ банка, а не к независимым бутикам. Аналог работает ПРОТИВ идеи.</t>
  </si>
  <si>
    <t>- Ценовой ориентир РФ: стройконтроль ~2.14% от стоимости СМР (нормативный расчёт).</t>
  </si>
  <si>
    <t>ВЕРДИКТ: ЧАСТИЧНО, с сильным понижением. Понизить A3 (окно поехало), A4 (место занято),</t>
  </si>
  <si>
    <t>A7 (аналог показывает захват маржи банком).</t>
  </si>
  <si>
    <t>## PRO-10 МСФО-фабрика — «ПОЧЕМУ СЕЙЧАС» РАССЫПАЛОСЬ</t>
  </si>
  <si>
    <t>- [A] МСФО ОБЯЗАТЕЛЕН с 01.01.2021 для АО, банков, страховых и крупных налогоплательщиков.</t>
  </si>
  <si>
    <t>Рынку трансформации ПЯТЬ ЛЕТ. Это не новое окно, а зрелый рынок.</t>
  </si>
  <si>
    <t>- [A] Закон о рынке капитала — ПРОЕКТ, НЕ ПРИНЯТ: представлен президенту 22-23.06.2026,</t>
  </si>
  <si>
    <t>первое чтение 28.07.2026, публичная презентация 13.08.2026. Строить план на непринятом</t>
  </si>
  <si>
    <t>законе нельзя.</t>
  </si>
  <si>
    <t>- [A] Конкуренты: ATB Audit, PROFI AUDIT, IBAC, Fair Audit, BAT Autsors + вся Big4.</t>
  </si>
  <si>
    <t>ВЕРДИКТ: ПОНИЖЕНО. A3 и A4 вниз.</t>
  </si>
  <si>
    <t>## PRO-01 GMP-подготовка — ОКНО ЧАСТИЧНО УЖЕ ЗАКРЫТО</t>
  </si>
  <si>
    <t>- [A] Даты разведены: 01.01.2026 — GMP обязателен для госрегистрации и продления РУ;</t>
  </si>
  <si>
    <t>01.01.2027 — для сертификата соответствия. ПЕРВЫЙ ДЕДЛАЙН ПРОШЁЛ 8 МЕСЯЦЕВ НАЗАД.</t>
  </si>
  <si>
    <t>- [A] Более того: GMP по O'zDSt 2766:2018 обязателен для фармпредприятий С 01.01.2023.</t>
  </si>
  <si>
    <t>«Окно 2026» — не первое и не главное. Кто хотел, уже сделал.</t>
  </si>
  <si>
    <t>- [A] Конкуренты: Clean Room Systems (cleanroom.uz), Pharm Advisor (pharmadvisor.uz),</t>
  </si>
  <si>
    <t>GxP Help (gxphelp.uz), Nominis (nominis.uz). Реестр GMP: uzpharm-gxp.uz/ru/registry2.</t>
  </si>
  <si>
    <t>ВЕРДИКТ: ПОНИЖЕНО. Остаётся дедлайн 01.01.2027 по сертификатам соответствия — но это</t>
  </si>
  <si>
    <t>второй эшелон спроса, а не первый.</t>
  </si>
  <si>
    <t>## PRO-03 Регуляторный агент — БЕЗ ИЗМЕНЕНИЙ, СЛЕГКА ВНИЗ</t>
  </si>
  <si>
    <t>- [B] Конкуренты: MedExpert Group, Cratia, Pharmalex.uz, Vakhidov Law.</t>
  </si>
  <si>
    <t>- [B] Срок регистрации 45-120 рабочих дней. Заявитель — производитель/держатель РУ ИЛИ</t>
  </si>
  <si>
    <t>уполномоченное доверенное лицо. Прямой нормы «обязан быть локальный представитель»</t>
  </si>
  <si>
    <t>дословно НЕ подтверждено — тезис об обязательности завышен.</t>
  </si>
  <si>
    <t>## PRO-22 Энергоаудит и ESCO — ОКНО УСИЛИЛОСЬ, НАЙДЕН МЕХАНИЗМ ПРИНУЖДЕНИЯ</t>
  </si>
  <si>
    <t>- [A] Обязательный энергоаудит для потребителей &gt;4 млн кВтч/год ИЛИ &gt;375 тыс. м3 газа;</t>
  </si>
  <si>
    <t>периодичность раз в 3 года (для крупных) и не реже раза в 5 лет по общему правилу;</t>
  </si>
  <si>
    <t>субъекты — из Государственного энергетического реестра.</t>
  </si>
  <si>
    <t>- [A] В список этого года вошли 317 предприятий.</t>
  </si>
  <si>
    <t>- [A] САНКЦИЯ, которой не было в исходной идее: не прошедшие энергоаудит ИЛИ не выполнившие</t>
  </si>
  <si>
    <t>предписания аудиторов платят за электричество и газ с ПОВЫШАЮЩИМ КОЭФФИЦИЕНТОМ 1.5.</t>
  </si>
  <si>
    <t>Это прямая, считаемая готовность платить: аудит дешевле, чем +50% к энергосчёту.</t>
  </si>
  <si>
    <t>- [A] Более 60 предприятий уже НЕ прошли обязательный энергоаудит -&gt; просроченный спрос.</t>
  </si>
  <si>
    <t>- [A] Перечень предлагается РАСШИРИТЬ -&gt; рынок растёт по регуляторной причине.</t>
  </si>
  <si>
    <t>- [C] Законодательство об энергосервисных (ESCO) контрактах в РУз поиском НЕ подтверждено.</t>
  </si>
  <si>
    <t>Значит вторая ступень (оплата из достигнутой экономии) — гипотеза, а не факт.</t>
  </si>
  <si>
    <t>ВЕРДИКТ: ПОВЫСИТЬ A6 (готовность платить) и A3. ESCO-надстройку понизить до гипотезы.</t>
  </si>
  <si>
    <t>## IND-02 Энергосбыт и трейдер — ОКНО ЕСТЬ, НО СТАТУС ЗАПУСКА НЕ ПОДТВЕРЖДЁН</t>
  </si>
  <si>
    <t>- [A] Закон «Об электроэнергетике» ЗРУ-939 от 07.08.2024, в силе с 09.11.2024.</t>
  </si>
  <si>
    <t>- [A] Агентство по развитию и регулированию рынка энергетики СОЗДАНО; в его функциях —</t>
  </si>
  <si>
    <t>лицензирование участников конкурентных оптового и розничного рынков и утверждение</t>
  </si>
  <si>
    <t>тарифов на передачу и распределение начиная с 2026 года.</t>
  </si>
  <si>
    <t>- [C] Свободный оптовый рынок «планировался к 2026» (источник 2023 года). Фактический</t>
  </si>
  <si>
    <t>запуск торговой площадки и выдача лицензий частным сбытам поиском НЕ ПОДТВЕРЖДЕНЫ.</t>
  </si>
  <si>
    <t>ВЕРДИКТ: ЧАСТИЧНО. Риск «рынка ещё нет» — тот же класс риска, что убил REA-01.</t>
  </si>
  <si>
    <t>## НЕ ПРОВЕРЕНО (агенты оборвались по лимиту сессии)</t>
  </si>
  <si>
    <t>IND-01 (легальность прямой продажи энергии «за счётчиком»), PRO-16 (статистика банкротств),</t>
  </si>
  <si>
    <t>REA-02, FIN-19 (содержание решения от 08.09.2026), MED-07, MED-08, MED-12.</t>
  </si>
  <si>
    <t>Это ЗАФИКСИРОВАННЫЙ ПРОБЕЛ, а не «подтверждено».</t>
  </si>
  <si>
    <t>Круг 2. Аудитор допущений</t>
  </si>
  <si>
    <t># КРУГ 2: СОСТЯЗАТЕЛЬНЫЙ АУДИТ МОДЕЛИ FIN-01+ (исламская финансовая практика, РУз)</t>
  </si>
  <si>
    <t>Статус: ЧЕРНОВИК, наполняется по ходу проверки. Инструмент: только WebSearch.</t>
  </si>
  <si>
    <t>Задача: найти ЗАВЫШЕНИЯ. Отсутствие критики = не найдено, а не «согласен».</t>
  </si>
  <si>
    <t>## Что заявила модель</t>
  </si>
  <si>
    <t>- Выживание 72%, E[NPV] $570k, медиана $408k, ставка 19.7%.</t>
  </si>
  <si>
    <t>- ARPU: $2 500 / 4 500 / 8 000 в месяц с ОДНОГО института.</t>
  </si>
  <si>
    <t>- TAM: 12 / 20 / 32 платящих института, max_capture 10%.</t>
  </si>
  <si>
    <t>- Отток 0.5 / 1.2 / 2.5% в месяц. DSO 30/50/80 дней. Задержка запуска 1/2/4 мес.</t>
  </si>
  <si>
    <t>- p_fail_to_launch 6%, p_no_demand 10%.</t>
  </si>
  <si>
    <t>(разделы ниже заполняются)</t>
  </si>
  <si>
    <t>## НАЙДЕНО НА ЭТОМ ЭТАПЕ (сырые факты, до вердиктов)</t>
  </si>
  <si>
    <t>Малайзия, Bank Islam (крупнейший исламский банк зрелого рынка), годовой отчёт 2024:</t>
  </si>
  <si>
    <t>гонорары членов шариатского совета RM 16 000 – 73 000/год; прочие выплаты RM 39 000 – 107 000;</t>
  </si>
  <si>
    <t>ИТОГО на члена RM 65 000 – 216 000/год = ПРИМЕРНО $14 000 – $46 000 в ГОД = $1 150 – $3 850 в МЕСЯЦ.</t>
  </si>
  <si>
    <t>Только гонорары (fee) = $280 – $1 300 в месяц.</t>
  </si>
  <si>
    <t>Академический разброс по выборке исламских банков мира: $20 790 – $305 920 в ГОД на весь совет/на члена</t>
  </si>
  <si>
    <t>(верх диапазона — гиганты Залива, не Узбекистан).</t>
  </si>
  <si>
    <t>Малайзия, BNM Shariah Governance: один шариатский советник может состоять в шариатском комитете</t>
  </si>
  <si>
    <t>ТОЛЬКО ОДНОГО финансового института в одной индустрии (банкинг и такафул считаются разными индустриями).</t>
  </si>
  <si>
    <t>Члены SAC при BNM вообще НЕ ВПРАВЕ входить в шариатские комитеты финансовых институтов.</t>
  </si>
  <si>
    <t>Узбекистан, приказ ЦБ, зарегистрирован Минюстом 17.07.2026 — требования к членам совета:</t>
  </si>
  <si>
    <t>минимум ТРИ члена, ВКЛЮЧАЯ ГЛАВУ И ЕГО ЗАМЕСТИТЕЛЯ, обязаны иметь ВЫСШЕЕ ОБРАЗОВАНИЕ В СФЕРЕ</t>
  </si>
  <si>
    <t>ИСЛАМОВЕДЕНИЯ и НЕ МЕНЕЕ 5 ЛЕТ опыта работы в сфере ШАРИАТСКОГО ПРАВА, плюс знание АРАБСКОГО ЯЗЫКА</t>
  </si>
  <si>
    <t>на уровне чтения и комментирования первоисточников. Кандидатуры согласовываются с ЦБ.</t>
  </si>
  <si>
    <t>Узбекистан, темп рынка: ЦБ — «минимум ОДИН банк откроет исламское окно в 2026»; «более 10 банков</t>
  </si>
  <si>
    <t>готовятся»; 10 исламских банков и 3 госбанковских окна — горизонт 2030.</t>
  </si>
  <si>
    <t>ОАЭ: содержание квалифицированного шариатского совета обходится институту в AED 147 000 – 441 000/год</t>
  </si>
  <si>
    <t>Сукук: глава о сукук — в ПРОЕКТЕ нового закона «О рынке капитала» (представлен 22-23.06.2026,</t>
  </si>
  <si>
    <t>презентация 13.08.2026). Закон НЕ ПРИНЯТ. Выпусков сукук в РУз нет.</t>
  </si>
  <si>
    <t>Состав Совета по исламским финансам при ЦБ РУз (опубликован 15.07.2026), 5 человек:</t>
  </si>
  <si>
    <t>председатель — Саиджамол Масайитов (главный специалист Центра фетв Управления мусульман Узбекистана),</t>
  </si>
  <si>
    <t>зам. — Мухаммадаюбхон Хомидов (там же), члены — Хикматилла Тоштемиров и Абдулатиф Турсунов (Центр фетв),</t>
  </si>
  <si>
    <t>и ЕДИНСТВЕННЫЙ «технический эксперт» — Ахрорджон Садуллаев, управляющий партнёр Orient Audit Group.</t>
  </si>
  <si>
    <t>4 из 5 — улемы Центра фетв / Совета улемов УМУ, и у них УЖЕ есть сертификаты AAOIFI.</t>
  </si>
  <si>
    <t>Две дорожки в совет банка (приказ ЦБ, Минюст 17.07.2026):</t>
  </si>
  <si>
    <t>- «шариатская» дорожка: минимум ТРИ члена, включая главу и заместителя — исламоведческое высшее</t>
  </si>
  <si>
    <t>образование + 5 лет шариатского права + арабский язык на уровне первоисточников;</t>
  </si>
  <si>
    <t>- «финансовая» дорожка: высшее финансово-экономическое ИЛИ по исламским финансам + МИНИМУМ 7 ЛЕТ</t>
  </si>
  <si>
    <t>в банковской (финансовой) системе + сертификат AAOIFI (с 01.07.2027 — у всех членов).</t>
  </si>
  <si>
    <t>Такое же требование — к руководителю направления исламского банкинга в «окне».</t>
  </si>
  <si>
    <t>Все кандидатуры согласовываются с ЦБ.</t>
  </si>
  <si>
    <t>Рынок: 25 банков и 69 лизинговых компаний могут организовывать лизинг (92 всего).</t>
  </si>
  <si>
    <t>Hamkorbank уже имеет собственный Экспертный совет по исламскому финансированию — места занимаются.</t>
  </si>
  <si>
    <t>---</t>
  </si>
  <si>
    <t># ВЕРДИКТЫ ПО ПУНКТАМ</t>
  </si>
  <si>
    <t>## 1. ЧЕК ($2 500 / 4 500 / 8 000 в месяц с одного института) — ЗАВЫШЕНО в 2.5 раза</t>
  </si>
  <si>
    <t>Что показывают реальные цифры:</t>
  </si>
  <si>
    <t>- Bank Islam Malaysia (крупнейший исламский банк зрелого рынка, десятки млрд RM активов),</t>
  </si>
  <si>
    <t>раскрытие в годовом отчёте 2024: гонорары члена шариатского совета RM 16-73 тыс./год,</t>
  </si>
  <si>
    <t>всего с прочими выплатами RM 65-216 тыс./год. Это $1 150 - $3 850 в МЕСЯЦ на человека</t>
  </si>
  <si>
    <t>в стране с ВВП на душу в 4 раза выше узбекского и с 40-летним рынком.</t>
  </si>
  <si>
    <t>Чистый гонорар без прочих выплат — $280 - $1 300 в месяц.</t>
  </si>
  <si>
    <t>- ОАЭ: содержание всего шариатского совета — AED 147-441 тыс./год = $40-120 тыс./год</t>
  </si>
  <si>
    <t>на СОВЕТ из 3-5 человек, т.е. $800-3 300 на человека в месяц.</t>
  </si>
  <si>
    <t>- Академическая выборка исламских банков мира: $20.8-306 тыс./год — верх диапазона это</t>
  </si>
  <si>
    <t>гиганты Залива с глобальными улемами (Таки Усмани и уровень), а не Ташкент.</t>
  </si>
  <si>
    <t>Ключевое: модель берёт верх мировой практики и применяет его к банку в стране, где</t>
  </si>
  <si>
    <t>исламское окно в первый год имеет околонулевой исламский портфель. Узбекский банк среднего</t>
  </si>
  <si>
    <t>размера платит внешнему консультанту исторически мало, а в первый год окна объём работы</t>
  </si>
  <si>
    <t>физически мал: 3-8 продуктов, ноль сделок для аудита.</t>
  </si>
  <si>
    <t>Моя цифра: $900 / $1 800 / $3 500 в месяц на полностью загруженного клиента.</t>
  </si>
  <si>
    <t>Разложение медианы $1 800: место в совете $600-800 + сертификация продукта, амортизированная,</t>
  </si>
  <si>
    <t>$400-600 + мелкий ретейнер ревью $400-600.</t>
  </si>
  <si>
    <t>## 1-бис. СКРЫТОЕ ЗАВЫШЕНИЕ В САМОЙ СТРУКТУРЕ ЧЕКА — КОНФЛИКТ ИНТЕРЕСОВ</t>
  </si>
  <si>
    <t>Модель складывает в один ARPU место в совете + внешний шариатский аудит + сертификацию</t>
  </si>
  <si>
    <t>продуктов ОДНОГО И ТОГО ЖЕ института. Это невозможно: член шариатского совета САМ выпускает</t>
  </si>
  <si>
    <t>фетвы и утверждает продукты — он не может быть внешним аудитором соответствия собственных</t>
  </si>
  <si>
    <t>решений. Двухуровневая шариатская модель (внутренний совет + внутренний контроль + внешняя</t>
  </si>
  <si>
    <t>проверка), которую вводит ЦБ, именно на разделении и построена. То есть с одного института</t>
  </si>
  <si>
    <t>основатель получает ОДНУ, а не три линии выручки. Это отдельное, независимое от размера</t>
  </si>
  <si>
    <t>чека завышение примерно в 2 раза.</t>
  </si>
  <si>
    <t>## 2. РЫНОК (12 / 20 / 32 платящих института) — ЗАВЫШЕНО в 3.3 раза</t>
  </si>
  <si>
    <t>- ЦБ (март 2026): в 2026 году откроется МИНИМУМ ОДНО исламское окно. Одно.</t>
  </si>
  <si>
    <t>- «Более 10 банков готовятся» — это заявления, а не лицензии. K1 сам предупреждал:</t>
  </si>
  <si>
    <t>«не заявили, а откроют».</t>
  </si>
  <si>
    <t>- 10 исламских банков и 3 госбанковских окна — это горизонт 2030, т.е. за пределами</t>
  </si>
  <si>
    <t>окна, на котором строится модель.</t>
  </si>
  <si>
    <t>- Лизинг: 69 лизинговых компаний, но это в основном микроструктуры; иджара-продукты</t>
  </si>
  <si>
    <t>требуют налоговых поправок, которые только что вступили в силу, и первых сделок.</t>
  </si>
  <si>
    <t>- Такафул: отдельного закона/главы о такафуле поиском не подтверждено. МФО: платёжеспособность</t>
  </si>
  <si>
    <t>МФО на уровне $1-3 тыс./мес. за консультанта нереальна.</t>
  </si>
  <si>
    <t>- И главное: TAM в модели — это «платящие институты». Институт становится платящим не когда</t>
  </si>
  <si>
    <t>получает лицензию, а когда у него ПОЯВЛЯЕТСЯ БЮДЖЕТ на внешнего шариатского консультанта,</t>
  </si>
  <si>
    <t>т.е. после запуска продуктов.</t>
  </si>
  <si>
    <t>Моя цифра: 3 / 6 / 11 платящих институтов на горизонте 3 лет (из них банков 2/4/7).</t>
  </si>
  <si>
    <t>При max_capture 10% это даёт 0.3-1.1 клиента — то есть модель при честном TAM вообще</t>
  </si>
  <si>
    <t>не выходит на клиентскую базу, которая покрывает abandon-порог $8-22 тыс./мес.</t>
  </si>
  <si>
    <t>## 3. ЧИСЛО МЕСТ НА ОДНОГО ЧЕЛОВЕКА — ЗАВЫШЕНО, реальный потолок 1-2 места</t>
  </si>
  <si>
    <t>- Малайзия: лимит ЕСТЬ и он жёсткий — один шариатский советник может состоять в шариатском</t>
  </si>
  <si>
    <t>комитете ТОЛЬКО ОДНОГО финансового института в пределах одной индустрии (банкинг и такафул</t>
  </si>
  <si>
    <t>считаются разными индустриями). Плюс: члены SAC при BNM вообще не вправе входить в советы</t>
  </si>
  <si>
    <t>финансовых институтов.</t>
  </si>
  <si>
    <t>- В РУз явно опубликованного лимита «N советов на человека» я не нашёл — но есть три</t>
  </si>
  <si>
    <t>функциональных эквивалента: (а) каждая кандидатура согласовывается с ЦБ поимённо;</t>
  </si>
  <si>
    <t>(б) банк-конкурент не пустит к продуктовому пайплайну человека, сидящего в совете соседнего</t>
  </si>
  <si>
    <t>банка; (в) минимальный состав совета — 3 человека, и все три обязаны быть исламоведами</t>
  </si>
  <si>
    <t>(см. п.4), то есть «финансовое» место в банке с минимальным советом ПРОСТО НЕ СУЩЕСТВУЕТ.</t>
  </si>
  <si>
    <t>- Отдельно: если основатель метит в национальный Совет при ЦБ — малайзийская практика</t>
  </si>
  <si>
    <t>прямо запрещает совмещение регуляторного совета с советами банков. Это две разные карьеры.</t>
  </si>
  <si>
    <t>Моя цифра: 1 место в банковской индустрии, максимум +1 в иной индустрии (лизинг/такафул).</t>
  </si>
  <si>
    <t>Не 5-10 мест. Модель неявно строится на «много мест» — это завышение в 2-3 раза сверх</t>
  </si>
  <si>
    <t>завышения по чеку, и оно мультипликативно с ним.</t>
  </si>
  <si>
    <t>## 4. КВАЛИФИКАЦИЯ — САМОЕ ТЯЖЁЛОЕ ЗАВЫШЕНИЕ. ОСНОВАТЕЛЬ НЕ ПРОХОДИТ В БОЛЬШИНСТВО МЕСТ</t>
  </si>
  <si>
    <t>K1 записал требование как «высшее образование по экономике ИЛИ фикху» — это неполно и</t>
  </si>
  <si>
    <t>потому опасно. Приказ ЦБ, зарегистрированный Минюстом 17.07.2026, разводит два типа членов:</t>
  </si>
  <si>
    <t>| | «Шариатская» дорожка | «Финансовая» дорожка |</t>
  </si>
  <si>
    <t>|---|---|---|</t>
  </si>
  <si>
    <t>| Сколько мест | МИНИМУМ 3, включая главу и зама | остальные, сверх трёх |</t>
  </si>
  <si>
    <t>| Образование | ВЫСШЕЕ ИСЛАМОВЕДЧЕСКОЕ | финансово-экономическое или исламские финансы |</t>
  </si>
  <si>
    <t>| Опыт | 5 лет шариатского права | 7 лет в банковской/финансовой системе |</t>
  </si>
  <si>
    <t>| Язык | арабский на уровне чтения и комментирования первоисточников | — |</t>
  </si>
  <si>
    <t>| Сертификат AAOIFI | обязателен у всех с 01.07.2027 | обязателен у всех с 01.07.2027 |</t>
  </si>
  <si>
    <t>Основатель — ACCA, CFA L1, LLM по банковскому праву, CPSS. Он не имеет исламоведческого</t>
  </si>
  <si>
    <t>образования, 5 лет шариатского права и арабского для комментирования первоисточников.</t>
  </si>
  <si>
    <t>Значит он не кандидат ни в главы, ни в замы, ни в три обязательных места. Он кандидат</t>
  </si>
  <si>
    <t>ТОЛЬКО на «техническое» место 4-е или 5-е — которое существует, лишь если банк добровольно</t>
  </si>
  <si>
    <t>расширил совет сверх минимума в 3 человека. Экономный банк этого не сделает.</t>
  </si>
  <si>
    <t>Подтверждение из практики: национальный Совет при ЦБ — 4 улема из Центра фетв УМУ + 1 технарь.</t>
  </si>
  <si>
    <t>Пропорция «технических» мест в стране — 20%. И это одно место уже занято конкурентом.</t>
  </si>
  <si>
    <t>Де-факто привратник допуска — Управление мусульман Узбекистана (Центр фетв, Совет улемов),</t>
  </si>
  <si>
    <t>с которым у основателя нет никакой связи. CPSS не открывает дверь; он лишь не даёт её закрыть.</t>
  </si>
  <si>
    <t>Моя цифра: вероятность, что основатель займёт хотя бы одно место в совете банка за 24 месяца —</t>
  </si>
  <si>
    <t>0.35, а не 1.0. Это не риск-фактор, это делитель выручки от линии «места в советах».</t>
  </si>
  <si>
    <t>## 5. КОНКУРЕНТЫ — ЗАВЫШЕНА «мягкость». p_competitor_at_start должен быть 1.0, не 0.75</t>
  </si>
  <si>
    <t>Что значит, что Садуллаев (Orient Audit Group) сидит в Совете при ЦБ:</t>
  </si>
  <si>
    <t>1. Он — единственный «технический эксперт» на национальном уровне. То есть, когда ЦБ</t>
  </si>
  <si>
    <t>решает, какой финансист достаточно квалифицирован, референс — он.</t>
  </si>
  <si>
    <t>2. Совет ежегодно отчитывается перед правлением ЦБ и формирует стандарты/толкования.</t>
  </si>
  <si>
    <t>Конкурент пишет правила, по которым будет работать основатель.</t>
  </si>
  <si>
    <t>3. У него аудиторская ЛИЦЕНЗИЯ и юрлицо. Внешний шариатский аудит банка почти наверняка</t>
  </si>
  <si>
    <t>будет куплен у лицензированной аудиторской организации, а не у физлица-консультанта.</t>
  </si>
  <si>
    <t>Это отрезает вторую из трёх линий выручки целиком.</t>
  </si>
  <si>
    <t>4. Mezon Kengashi держит канал к улемам; Amanie/Amanah Advisors и AlHuda дают то, чего</t>
  </si>
  <si>
    <t>локальный игрок дать не может — международных шейхов, которых требуют инвесторы Залива</t>
  </si>
  <si>
    <t>для признания сукука. Основатель не даёт ни того, ни другого.</t>
  </si>
  <si>
    <t>В конфиге: p_competitor_at_start 0.75, winrate_impact 0.25, price_impact 0.15.</t>
  </si>
  <si>
    <t>Моя цифра: p_competitor_at_start = 1.0, winrate_impact = 0.50, price_impact = 0.25,</t>
  </si>
  <si>
    <t>entry_hazard_month = 0.06 (рынок на виду, вход дешёвый: нужен один улем + один финансист).</t>
  </si>
  <si>
    <t>## 6. ОКНО ДЕФИЦИТА — ЗАВЫШЕНА его длительность. Закроется к середине 2027 - 2028</t>
  </si>
  <si>
    <t>- Центр AAOIFI в Ташкенте работает с 2022, первые экзамены — сентябрь 2023, и это</t>
  </si>
  <si>
    <t>единственный экзаменационный центр на всю Центральную Азию. Поток идёт.</t>
  </si>
  <si>
    <t>- Дефицит закрывается НЕ с той стороны, с какой считает модель. Дефицитен не сертификат,</t>
  </si>
  <si>
    <t>а связка «исламовед + 5 лет шариата + арабский». Улемы Центра фетв уже получили</t>
  </si>
  <si>
    <t>сертификаты AAOIFI (это прямо сказано про состав Совета при ЦБ). То есть богословы</t>
  </si>
  <si>
    <t>добирают финансовый допуск быстрее, чем финансисты добирают фикх — сертификат сдаётся</t>
  </si>
  <si>
    <t>за 6-12 месяцев, исламоведческое образование не добирается вообще.</t>
  </si>
  <si>
    <t>- Дедлайн 01.07.2027 не создаёт для основателя ренту: он создаёт спрос на КУРСЫ AAOIFI,</t>
  </si>
  <si>
    <t>а не на него лично, и подталкивает банки сертифицировать уже нанятых улемов.</t>
  </si>
  <si>
    <t>Моя цифра: премия за дефицит держится 12-24 месяца и затем падает.</t>
  </si>
  <si>
    <t>price_escalation_annual = МИНУС 5% (в долларах), а не плюс 5%. Это разворот знака,</t>
  </si>
  <si>
    <t>а не поправка: на 7-летнем горизонте разница в цене составляет ~2 раза.</t>
  </si>
  <si>
    <t>## 7. ОТТОК И СРОК ОПЛАТЫ — ЗАНИЖЕНО ОБА</t>
  </si>
  <si>
    <t>Отток 0.5 / 1.2 / 2.5% в месяц. Формально 6-26% годовых. Проблема даже не в среднем:</t>
  </si>
  <si>
    <t>- Места в совете — это срочные назначения с ПЕРЕСОГЛАСОВАНИЕМ В ЦБ. Непродление — не «отток»,</t>
  </si>
  <si>
    <t>а бинарное событие с вероятностью 20-30% в год на клиента.</t>
  </si>
  <si>
    <t>- При базе 2-6 клиентов потеря ОДНОГО = минус 17-50% выручки мгновенно. Модель с плавным</t>
  </si>
  <si>
    <t>месячным оттоком систематически недооценивает дисперсию и вероятность падения ниже</t>
  </si>
  <si>
    <t>abandon-порога. Это завышает и «выживание», и медиану.</t>
  </si>
  <si>
    <t>- Смена менеджмента в узбекском госбанке (а большинство крупных банков — с госучастием)</t>
  </si>
  <si>
    <t>обнуляет отношения целиком.</t>
  </si>
  <si>
    <t>Моя цифра: 1.5 / 2.5 / 4.0% в месяц + явная лумпи-модель (биномиальное непродление 25%/год).</t>
  </si>
  <si>
    <t>DSO 30 / 50 / 80 дней — ЗАНИЖЕНО примерно в 2 раза. Банки с госучастием платят по</t>
  </si>
  <si>
    <t>казначейскому циклу, через акт приёмки, с тендером в начале года; отдельной процедуры</t>
  </si>
  <si>
    <t>тендера на аудиторские услуги в законодательстве РУз нет, цена — «по соглашению сторон»,</t>
  </si>
  <si>
    <t>что на практике означает долгие согласования. Консультанту-физлицу платят последним.</t>
  </si>
  <si>
    <t>Моя цифра: DSO 60 / 100 / 150 дней, prepay_share 0.10 вместо 0.20.</t>
  </si>
  <si>
    <t>При медианном DSO 100 дней и выручке $5 тыс./мес. в оборотке замораживается ~$17 тыс. —</t>
  </si>
  <si>
    <t>на капитале $150 тыс. это терпимо, но это прямой минус к NPV и к дате безубыточности.</t>
  </si>
  <si>
    <t>## 8. ДРУГИЕ ЗАВЫШЕНИЯ (найдено пять, каждое самостоятельно значимое)</t>
  </si>
  <si>
    <t>8.1. КУРС СУМА: uzs_vs_usd_annual_drift = 0.0 — это бесплатный обед в ~8% годовых.</t>
  </si>
  <si>
    <t>85% выручки в модели — сумовая (usd_revenue_share 0.15). Сум устойчиво слабеет к доллару.</t>
  </si>
  <si>
    <t>Занулённый дрейф при ненулевой волатильности 6% означает, что модель просто дарит себе</t>
  </si>
  <si>
    <t>сохранение долларовой цены. Моя цифра: drift = -8% в год. На горизонте 5-7 лет это</t>
  </si>
  <si>
    <t>минус 30-45% к долларовой выручке, т.е. NPV падает примерно в 1.5 раза от одной этой строки.</t>
  </si>
  <si>
    <t>8.2. СТАВКА ДИСКОНТИРОВАНИЯ 19.7% — методологическая ошибка.</t>
  </si>
  <si>
    <t>Сумовой депозит — это безрисковая альтернатива, а не стоимость капитала для проекта,</t>
  </si>
  <si>
    <t>где (а) выручка зависит от персонального допуска одного человека, (б) база 2-6 клиентов,</t>
  </si>
  <si>
    <t>(в) регуляторный режим младше года, (г) главный конкурент сидит у регулятора.</t>
  </si>
  <si>
    <t>Это венчурный риск. Моя цифра: 35-40%. Только замена 19.7% -&gt; 38% срезает NPV</t>
  </si>
  <si>
    <t>семилетнего потока примерно в 2-2.5 раза, ничего не меняя в операционных допущениях.</t>
  </si>
  <si>
    <t>8.3. ЗАДЕРЖКА ЗАПУСКА 1/2/4 месяца — ЗАВЫШЕНО в 5-6 раз.</t>
  </si>
  <si>
    <t>Платить некому, пока нет ни одного работающего исламского окна. ЦБ обещает первое окно</t>
  </si>
  <si>
    <t>«до конца 2026». Затем банку нужно: лицензия -&gt; совет -&gt; продукты -&gt; сделки -&gt; и только</t>
  </si>
  <si>
    <t>тогда бюджет на внешнюю проверку. Моя цифра: 6 / 12 / 24 месяца до первого платящего</t>
  </si>
  <si>
    <t>клиента. При abandon-проверке на 18-м месяце это почти гарантирует, что медианный сценарий</t>
  </si>
  <si>
    <t>приходит к проверке с выручкой сильно ниже порога $8-22 тыс./мес.</t>
  </si>
  <si>
    <t>8.4. p_no_demand = 0.10 — ЗАНИЖЕНО в 3 раза. Маржа уходит ВНУТРЬ банка.</t>
  </si>
  <si>
    <t>Это ровно тот механизм, который K1 нашёл и которым убил REA-01 (ДОМ.РФ забрал стройконтроль</t>
  </si>
  <si>
    <t>внутрь). ЦБ ТРЕБУЕТ от банка собственную службу внутреннего шариатского контроля и</t>
  </si>
  <si>
    <t>собственного руководителя направления. Банк нанимает руководителя направления ($2-4 тыс./мес.</t>
  </si>
  <si>
    <t>в штат) и 3 улемов ($0.5-1 тыс./мес. каждый) — весь комплаенс закрыт за $4-8 тыс./мес.</t>
  </si>
  <si>
    <t>внутри. Внешний консультант сверху — это необязательная надбавка, которую режут первой.</t>
  </si>
  <si>
    <t>Моя цифра: p_no_demand = 0.28.</t>
  </si>
  <si>
    <t>8.5. ВЫХОД: prob_exit_market 0.35 при мультипликаторе 1.5-3-5x EBITDA — ЗАВЫШЕНО в 3-4 раза.</t>
  </si>
  <si>
    <t>Актив — персональный допуск одного человека, согласованный с ЦБ поимённо. Он не передаётся</t>
  </si>
  <si>
    <t>покупателю. Практика личных консалтинговых практик: продаётся клиентская книга с дисконтом,</t>
  </si>
  <si>
    <t>а не мультипликатор EBITDA. Моя цифра: prob_exit = 0.10, мультипликатор 0.5 / 1.0 / 1.5x.</t>
  </si>
  <si>
    <t>Учитывая, что в модели значительная часть NPV сидит в терминальной стоимости, это</t>
  </si>
  <si>
    <t>самостоятельно срезает E[NPV] на десятки процентов.</t>
  </si>
  <si>
    <t>8.6 (бонус). СУКУК — ЛИНИЯ ВЫРУЧКИ, КОТОРОЙ ЮРИДИЧЕСКИ ЕЩЁ НЕТ.</t>
  </si>
  <si>
    <t>Глава о сукук находится в ПРОЕКТЕ нового закона «О рынке капитала» (представлен президенту</t>
  </si>
  <si>
    <t>22-23.06.2026, презентация 13.08.2026). Закон НЕ ПРИНЯТ, SPV-механика не введена, выпусков</t>
  </si>
  <si>
    <t>нет. Это ровно та ошибка, за которую K1 понизил PRO-10 («строить план на непринятом законе</t>
  </si>
  <si>
    <t>нельзя»), — но в FIN-01+ она осталась незамеченной. Структурирование сукука надо перенести</t>
  </si>
  <si>
    <t>из базового сценария в опцион с вероятностью 0.3 и сроком не ранее 2028.</t>
  </si>
  <si>
    <t>8.7 (бонус). НАЛОГОВЫЙ РЕЖИМ. Конфиг считает налог с оборота 4% при потолке режима</t>
  </si>
  <si>
    <t>$80 тыс./год. Целевая выручка модели ($9-25 тыс./мес. = $108-300 тыс./год) потолок пробивает</t>
  </si>
  <si>
    <t>уже на 2-й год, после чего включаются НДС 12% и налог на прибыль 15%. Модель считает</t>
  </si>
  <si>
    <t>по льготному режиму выручку, которая в этот режим не помещается.</t>
  </si>
  <si>
    <t># МОЯ ВЕРСИЯ ЦИФР</t>
  </si>
  <si>
    <t>| Параметр | Модель (мин/мед/макс) | МОЁ | Обоснование одной строкой |</t>
  </si>
  <si>
    <t>|---|---|---|---|</t>
  </si>
  <si>
    <t>| ARPU, $/мес. на институт | 2 500 / 4 500 / 8 000 | 900 / 1 800 / 3 500 | Bank Islam Malaysia платит члену совета $1.15-3.85 тыс./мес. в стране вчетверо богаче и на рынке вчетверо старше |</t>
  </si>
  <si>
    <t>| Линий выручки с одного клиента | 3 (складываются) | 1 | член совета не может быть внешним аудитором собственных фетв |</t>
  </si>
  <si>
    <t>| TAM, платящих институтов | 12 / 20 / 32 | 3 / 6 / 11 | ЦБ: «минимум ОДНО окно в 2026»; 10 исл. банков — горизонт 2030 |</t>
  </si>
  <si>
    <t>| Мест в советах на основателя | много (неявно) | 1, максимум 2 | Малайзия: 1 институт на советника; в РУз — согласование в ЦБ + конфликт интересов |</t>
  </si>
  <si>
    <t>| P(основатель вообще получит место) | 1.0 (неявно) | 0.35 | 3 обязательных места требуют исламоведения + 5 лет шариата + арабского; ему доступно только 4-5-е «техническое» |</t>
  </si>
  <si>
    <t>| Задержка до 1-го платящего клиента | 1 / 2 / 4 мес. | 6 / 12 / 24 мес. | первое окно только «до конца 2026», бюджет на внешнюю проверку — после запуска продуктов |</t>
  </si>
  <si>
    <t>| Отток, %/мес. | 0.5 / 1.2 / 2.5 | 1.5 / 2.5 / 4.0 + лумпи | назначение срочное и пересогласовывается в ЦБ; потеря 1 клиента из 3 = -33% выручки |</t>
  </si>
  <si>
    <t>| DSO, дней | 30 / 50 / 80 | 60 / 100 / 150 | госбанки, казначейский цикл, акт приёмки, физлицу платят последним |</t>
  </si>
  <si>
    <t>| prepay_share | 0.20 | 0.10 | предоплата консультанту-физлицу в госбанке — редкость |</t>
  </si>
  <si>
    <t>| price_escalation_annual | +5% | -5% | центр AAOIFI выпускает сертифицированных улемов быстрее, чем финансисты добирают фикх |</t>
  </si>
  <si>
    <t>| uzs_vs_usd_annual_drift | 0.0 | -8%/год | 85% выручки сумовая, сум устойчиво слабеет |</t>
  </si>
  <si>
    <t>| p_no_demand | 0.10 | 0.28 | ЦБ требует ВНУТРЕННЮЮ службу шариат-контроля; маржа уходит в штат банка (паттерн ДОМ.РФ из REA-01) |</t>
  </si>
  <si>
    <t>| p_competitor_at_start | 0.75 | 1.00 | конкуренты названы поимённо, один — в Совете при ЦБ |</t>
  </si>
  <si>
    <t>| winrate_impact конкуренции | 0.25 | 0.50 | конкурент одновременно регулятор и вендор |</t>
  </si>
  <si>
    <t>| prob_exit_market | 0.35 | 0.10 | личный допуск, согласованный с ЦБ, не передаётся покупателю |</t>
  </si>
  <si>
    <t>| ebitda_multiple | 1.5 / 3 / 5 | 0.5 / 1.0 / 1.5 | продаётся клиентская книга, а не бизнес |</t>
  </si>
  <si>
    <t>| Ставка дисконтирования | 19.7% (сум. депозит) | 38% | депозит — безрисковая альтернатива, а не стоимость капитала однолюдного регуляторного проекта |</t>
  </si>
  <si>
    <t>| Сукук как линия выручки | в базе | опцион, p=0.3, не ранее 2028 | глава о сукук — в НЕ ПРИНЯТОМ законе о рынке капитала |</t>
  </si>
  <si>
    <t>ИТОГОВЫЕ ЦИФРЫ:</t>
  </si>
  <si>
    <t>- Выживание до месяца 18 с выручкой выше abandon-порога: 25-35% (модель: 72%) —</t>
  </si>
  <si>
    <t>ЗАВЫШЕНО примерно в 2.3 раза.</t>
  </si>
  <si>
    <t>- Медианный NPV: около нуля, коридор -$40 тыс. … +$60 тыс. (модель: $408 тыс.) —</t>
  </si>
  <si>
    <t>ЗАВЫШЕНО кратно, медиана в модели по сути соответствует моему P85.</t>
  </si>
  <si>
    <t>- E[NPV]: $40-90 тыс., с тонким правым хвостом от сукука и второго места в совете</t>
  </si>
  <si>
    <t>(модель: $570 тыс.) — ЗАВЫШЕНО примерно в 7-10 раз.</t>
  </si>
  <si>
    <t>Декомпозиция «в 10 раз» по множителям (все независимы и перемножаются):</t>
  </si>
  <si>
    <t>чек 2.5x х стекинг линий 2x х TAM 3.3x х доступ к месту 3x = 50x вниз по выручке-потенциалу,</t>
  </si>
  <si>
    <t>частично компенсируется тем, что max_capture 10% уже ограничивал модель 2-3 клиентами;</t>
  </si>
  <si>
    <t>поверх этого ставка 2.2x, выход 1.4x, FX 1.5x — вниз по оценке денежного потока.</t>
  </si>
  <si>
    <t>ЧТО ПРИ ЭТОМ ОСТАЁТСЯ ПРАВДОЙ (не занижаю): для ЛИЧНО основателя, при 20-30 часах</t>
  </si>
  <si>
    <t>в неделю, это хорошая персональная надстройка к доходу: одно место в совете + 2-3 сертификации</t>
  </si>
  <si>
    <t>продуктов в год = $2-4 тыс./мес. при почти нулевых затратах. Как ЛИЧНАЯ ПРАКТИКА</t>
  </si>
  <si>
    <t>с NPV $60-120 тыс. и капиталом в работе $15-25 тыс. — сделка хорошая.</t>
  </si>
  <si>
    <t>Как БИЗНЕС с наймом до 14 FTE и капиталом $150 тыс. — не подтверждается: рынка на 14 FTE нет.</t>
  </si>
  <si>
    <t>Главная ошибка модели не в знаке, а в масштабе: она превратила личную практику в фирму.</t>
  </si>
  <si>
    <t># ЧТО УБЬЁТ ЭТОТ БИЗНЕС — ТРИ САМЫХ ВЕРОЯТНЫХ СЦЕНАРИЯ СМЕРТИ</t>
  </si>
  <si>
    <t>## Сценарий 1 (вероятность ~40%): «НЕ ПУСТИЛИ В ДВЕРЬ»</t>
  </si>
  <si>
    <t>Банки формируют советы по минимуму — 3 человека, все из Центра фетв / Совета улемов УМУ,</t>
  </si>
  <si>
    <t>все уже с сертификатами AAOIFI. «Технического» 4-го места просто не создают: зачем платить</t>
  </si>
  <si>
    <t>четвёртому, если регулятор требует трёх. Основатель с ACCA/CFA/CPSS оказывается по</t>
  </si>
  <si>
    <t>формальным критериям непроходным: нет исламоведческого образования, нет 5 лет шариатского</t>
  </si>
  <si>
    <t>права, нет арабского для работы с первоисточниками. Продать нечего — и не потому, что</t>
  </si>
  <si>
    <t>плохой продавец, а потому что нормативка его не описывает. Симптом на 6-9-м месяце:</t>
  </si>
  <si>
    <t>две-три встречи в банках заканчиваются фразой «нам нужен улем, а не финансист».</t>
  </si>
  <si>
    <t>## Сценарий 2 (вероятность ~30%): «БАНК СДЕЛАЛ ВСЁ САМ» (паттерн ДОМ.РФ / REA-01)</t>
  </si>
  <si>
    <t>Регулятор сам загнал функцию внутрь: обязательная служба внутреннего шариатского контроля +</t>
  </si>
  <si>
    <t>обязательный штатный руководитель направления с 7-летним опытом и сертификатом AAOIFI.</t>
  </si>
  <si>
    <t>Банк нанимает этого руководителя в штат за $2-4 тыс./мес. — и это ровно тот человек,</t>
  </si>
  <si>
    <t>которым мог бы быть основатель, но НАЁМНЫМ. Внешний шариатский аудит уходит в лицензированную</t>
  </si>
  <si>
    <t>аудиторскую организацию (Orient Audit Group и подобные), потому что банку нужна лицензия</t>
  </si>
  <si>
    <t>и юрлицо, а не физлицо с сертификатом. Для внешнего консультанта не остаётся строки в бюджете.</t>
  </si>
  <si>
    <t>Симптом на 9-15-м месяце: банки приглашают его на собеседование, а не подписывают договор.</t>
  </si>
  <si>
    <t>## Сценарий 3 (вероятность ~20%): «ОКНО ЗАКРЫЛОСЬ БЫСТРЕЕ, ЧЕМ ОТКРЫЛСЯ РЫНОК»</t>
  </si>
  <si>
    <t>Рынок раскачивается медленнее, чем закрывается дефицит. Первое исламское окно реально</t>
  </si>
  <si>
    <t>заработало в 2027, второе-третье в 2028. За это время центр AAOIFI в Ташкенте (единственный</t>
  </si>
  <si>
    <t>в Центральной Азии) выпустил десятки сертифицированных специалистов, а улемы Центра фетв</t>
  </si>
  <si>
    <t>добрали все четыре сертификата к дедлайну 01.07.2027. К моменту, когда у банков появились</t>
  </si>
  <si>
    <t>деньги на внешнюю шариатскую экспертизу, редкости больше нет, цена упала, и на одно</t>
  </si>
  <si>
    <t>«техническое» место в каждом из 3-4 банков претендуют 20 человек с такими же корочками.</t>
  </si>
  <si>
    <t>Проверка на 18-м месяце (порог $8-22 тыс./мес.) срабатывает на выручке $2-4 тыс./мес.,</t>
  </si>
  <si>
    <t>проект закрывается со списанием большей части $150 тыс.</t>
  </si>
  <si>
    <t>Общая вероятность смерти по одному из трёх: ~65-75%. Это зеркально отражает мою оценку</t>
  </si>
  <si>
    <t>выживания 25-35%.</t>
  </si>
  <si>
    <t>ЧЕГО НЕ ХВАТАЕТ ДЛЯ ОКОНЧАТЕЛЬНОГО ВЕРДИКТА (проверять ДО денег, не поиском, а запросом в ЦБ):</t>
  </si>
  <si>
    <t>1. Точный текст приказа ЦБ от 17.07.2026 на lex.uz: сколько именно членов совета могут идти</t>
  </si>
  <si>
    <t>по «финансовой» дорожке и есть ли прямой запрет на совмещение советов нескольких банков.</t>
  </si>
  <si>
    <t>2. Признаёт ли ЦБ CPSS как «сертификат по своему направлению деятельности» — или требуется</t>
  </si>
  <si>
    <t>именно CSAA для аудиторской роли.</t>
  </si>
  <si>
    <t>3. Требуется ли для ВНЕШНЕГО шариатского аудита аудиторская лицензия РУз (если да — линия</t>
  </si>
  <si>
    <t>выручки №2 закрыта для физлица полностью, и чек падает ещё вдвое от моей цифры).</t>
  </si>
  <si>
    <t>## Источники</t>
  </si>
  <si>
    <t>- [Bank Islam Integrated Annual Report 2024, p.366 (вознаграждение шариатского совета)](https://bimb.irplc.com/investor-relations/interactiveAR2024/366/)</t>
  </si>
  <si>
    <t>- [BNM Shariah Governance Policy Document 2019](https://www.bnm.gov.my/documents/20124/761679/Shariah%20Governance%20Policy%20Document%202019.pdf)</t>
  </si>
  <si>
    <t>- [Q&amp;A: Islamic finance regulation and supervision in Malaysia (лимит на число комитетов)](https://www.lexology.com/library/detail.aspx?g=f4708a38-1634-4b47-8e0a-c8bc63f8e2eb)</t>
  </si>
  <si>
    <t>- [Spot.uz, 21.07.2026 — Кто сможет стать членом банковского совета по исламским финансам](https://www.spot.uz/ru/2026/07/21/islamic-banks-licensing)</t>
  </si>
  <si>
    <t>- [Spot.uz, 15.07.2026 — состав Совета по исламским финансам при ЦБ](https://www.spot.uz/ru/2026/07/15/islamic-finance/)</t>
  </si>
  <si>
    <t>- [Kapital.uz — правила лицензирования и управления для исламских банков](https://kapital.uz/cbu-pravila-islambanka/)</t>
  </si>
  <si>
    <t>- [Gazeta.uz, 25.03.2026 — более 10 банков готовятся, первое окно в 2026](https://www.gazeta.uz/ru/2026/03/25/islamic-finance/)</t>
  </si>
  <si>
    <t>- [Spot.uz, 25.03.2026 — минимум один банк откроет исламское окно в 2026](https://www.spot.uz/ru/2026/03/25/islamic-banking)</t>
  </si>
  <si>
    <t>- [Gazeta.uz, 13.08.2026 — проект закона «О рынке капитала» (глава о сукук)](https://www.gazeta.uz/ru/2026/08/13/capital-market/)</t>
  </si>
  <si>
    <t>- [CBUAE Rulebook — Standard Re External Shari'ah Audit](https://rulebook.centralbank.ae/en/rulebook/standard-re-external-shari%E2%80%99ah%C2%A0-audit-islamic-financial-institutions)</t>
  </si>
  <si>
    <t>- [AAOIFI — партнёрство с «Islamic Business and Finance» (центр в Ташкенте, 2022)](https://aaoifi.com/announcement/aaoifi-signs-key-strategic-partnerships-at-its-20th-shariah-boards-conference-and-kazan-summit-2022-2/?lang=en)</t>
  </si>
  <si>
    <t>- [Hamkorbank — уже действующий Экспертный совет по исламскому финансированию](https://hamkorbank.uz/business/islamic-financing/islamic-council/)</t>
  </si>
  <si>
    <t>- [Список лизингодателей Узбекистана (25 банков + 69 лизинговых компаний)](http://finansist.uz/list-of-lessors-of-uzbekistan/)</t>
  </si>
  <si>
    <t>Круг 2б. Защита</t>
  </si>
  <si>
    <t># K2b — ЗАЩИТА: где аудитор (K2) и внешний критик (K4) перегнули</t>
  </si>
  <si>
    <t>Роль: не защищать исходный вывод, а найти методологические ошибки в самой критике.</t>
  </si>
  <si>
    <t>Инструмент: WebSearch (прямое открытие сайтов заблокировано egress-прокси, как и указано в 02_метод.md).</t>
  </si>
  <si>
    <t>Проверено независимо, не по ссылкам аудитора.</t>
  </si>
  <si>
    <t>## КОРОТКО: ЧТО ПРИЗНАЮ СРАЗУ</t>
  </si>
  <si>
    <t>Аудитор прав по существу в шести пунктах, и я их не оспариваю:</t>
  </si>
  <si>
    <t>1. Квалификация. Требование подтверждено независимо: минимум ТРИ члена совета,</t>
  </si>
  <si>
    <t>включая главу и заместителя, — высшее образование в сфере исламоведения,</t>
  </si>
  <si>
    <t>не менее 5 лет опыта в шариатском праве, арабский на уровне чтения и</t>
  </si>
  <si>
    <t>толкования первоисточников; не менее 2/3 таких экспертов — граждане Узбекистана;</t>
  </si>
  <si>
    <t>кандидатуры согласовываются с ЦБ; минимум один член — с сертификатом AAOIFI,</t>
  </si>
  <si>
    <t>с 01.07.2027 — все. Формулировка K1 «высшее по экономике ИЛИ фикху» была неверна.</t>
  </si>
  <si>
    <t>Линия «кресло в совете» действительно должна умножаться на вероятность допуска.</t>
  </si>
  <si>
    <t>2. Налоговый режим. Настоящий баг конфига: turnover_regime_cap_usd_year = 80 000</t>
  </si>
  <si>
    <t>при целевой выручке $108–300 тыс./год. Режим оборота выключается на 2-й год —</t>
  </si>
  <si>
    <t>модель считала по льготе выручку, которая в льготу не помещается. Исправлять обязательно.</t>
  </si>
  <si>
    <t>3. Сукук. Глава о сукук — в непринятом законе. В базе её быть не должно.</t>
  </si>
  <si>
    <t>4. Выход. Персональный, согласованный с ЦБ допуск покупателю не передаётся.</t>
  </si>
  <si>
    <t>prob_exit 0.35 и мультипликатор 3–5x EBITDA не подтверждаются.</t>
  </si>
  <si>
    <t>5. Конкурент. p_competitor_at_start = 0.75 при поимённо названных конкурентах —</t>
  </si>
  <si>
    <t>занижение. Принимаю 1.00.</t>
  </si>
  <si>
    <t>6. Лумпи-отток. При базе 2–6 клиентов помесячный плавный отток — неверная форма.</t>
  </si>
  <si>
    <t>Механизм «биномиальное непродление» надо ввести. Спор только об уровне.</t>
  </si>
  <si>
    <t>Ниже — где критика сломана.</t>
  </si>
  <si>
    <t>## 0. ГЛАВНАЯ МЕТОДОЛОГИЧЕСКАЯ ОШИБКА АУДИТА: АСИММЕТРИЧНАЯ ПОПРАВКА</t>
  </si>
  <si>
    <t>Аудитор сам ставит верный диагноз — «модель превратила личную практику в фирму» —</t>
  </si>
  <si>
    <t>и затем правит только одну сторону баланса. Он режет выручку в 50 раз</t>
  </si>
  <si>
    <t>(2.5 × 2 × 3.3 × 3), но оставляет нетронутой затратную конструкцию фирмы:</t>
  </si>
  <si>
    <t>max_fte = 14, fixed_opex 1 200/2 200/3 800, капитал $150 тыс. и,</t>
  </si>
  <si>
    <t>самое важное, порог отказа abandon.min_monthly_revenue = 8 000/14 000/22 000.</t>
  </si>
  <si>
    <t>Порог отказа — это параметр ФИРМЫ. Он и есть механизм, которым аудитор получает</t>
  </si>
  <si>
    <t>«выживание 25–35%»: он подставляет выручку практики в критерий закрытия фирмы.</t>
  </si>
  <si>
    <t>У практики с одним человеком, 20–30 часами в неделю и opex $700–2 200/мес.</t>
  </si>
  <si>
    <t>точка «закрываться или нет» лежит не на $8–22 тыс./мес., а на $5–14 тыс./мес.</t>
  </si>
  <si>
    <t>Это не спор о цифре, это спор о том, что считается провалом. Если поправку</t>
  </si>
  <si>
    <t>«это практика, а не фирма» применить симметрично — и к выручке, и к затратам,</t>
  </si>
  <si>
    <t>и к порогу — то падает и E[NPV], и требуемая выручка, а выживание падает</t>
  </si>
  <si>
    <t>гораздо меньше, чем у аудитора. Его собственный финальный абзац это подтверждает:</t>
  </si>
  <si>
    <t>он сам пишет, что как личная практика с NPV $60–120 тыс. и капиталом $15–25 тыс.</t>
  </si>
  <si>
    <t>«сделка хорошая». То есть он считает NPV практики против порога фирмы</t>
  </si>
  <si>
    <t>и объявляет результат провалом.</t>
  </si>
  <si>
    <t>Второй системный дефект аудита — перемножение коррелированных поправок.</t>
  </si>
  <si>
    <t>«Чек 2.5x × стекинг 2x × TAM 3.3x × доступ 3x = 50x» правомерно только если все</t>
  </si>
  <si>
    <t>четыре поправки независимы. Они не независимы: все четыре измеряют одно и то же —</t>
  </si>
  <si>
    <t>сколько основатель способен продать на этом рынке. Более того, в самой методологии</t>
  </si>
  <si>
    <t>модели для этого есть common_factor_strength — «общий фактор качества рынка»,</t>
  </si>
  <si>
    <t>специально введённый, чтобы параметры не разыгрывались независимо. Аудитор</t>
  </si>
  <si>
    <t>нарушил ровно тот принцип, за соблюдение которого модель себя хвалила, — только</t>
  </si>
  <si>
    <t>в обратную сторону. Правильное совмещение коррелированных поправок даёт не 50x,</t>
  </si>
  <si>
    <t>а порядка 4–7x по выручке-потенциалу.</t>
  </si>
  <si>
    <t>## 1. СТАВКА ДИСКОНТИРОВАНИЯ: ТРЕБОВАНИЕ 38% — ЭТО ДВОЙНОЙ СЧЁТ РИСКА. ОДНОЗНАЧНО.</t>
  </si>
  <si>
    <t>Ответ: да, это двойной счёт. 38% применять нельзя.</t>
  </si>
  <si>
    <t>Обоснование, в трёх шагах.</t>
  </si>
  <si>
    <t>(а) Венчурная ставка 30–50% существует ровно потому, что венчур дисконтирует</t>
  </si>
  <si>
    <t>УСЛОВНЫЕ потоки. VC получает от основателя план успеха («если всё получится,</t>
  </si>
  <si>
    <t>выручка $50 млн»), в котором нет ни одного провального сценария. Ставка 40% — это</t>
  </si>
  <si>
    <t>грубая замена вероятности провала: она встроена в ЗНАМЕНАТЕЛЬ, потому что в</t>
  </si>
  <si>
    <t>ЧИСЛИТЕЛЕ её нет. Здесь ситуация обратная: в числителе она уже есть.</t>
  </si>
  <si>
    <t>Модель явно разыгрывает p_fail_to_launch = 0.06, p_no_demand = 0.10,</t>
  </si>
  <si>
    <t>вход конкурента (entry_hazard_month), отток, дефолт по оборотке, отказ на 18-м месяце,</t>
  </si>
  <si>
    <t>и матожидание берётся по всем 20 000 прогонам, включая нулевые и отрицательные.</t>
  </si>
  <si>
    <t>Применить сверху венчурную ставку — значит вычесть вероятность провала дважды.</t>
  </si>
  <si>
    <t>Это не «методологический спор», это учебниковая ошибка (Брейли–Майерс: «не делайте</t>
  </si>
  <si>
    <t>скидку за риск и в потоках, и в ставке»; Дамодаран о «double-counting risk in</t>
  </si>
  <si>
    <t>expected cash flows and the discount rate»).</t>
  </si>
  <si>
    <t>(б) Три из четырёх рисков, которые перечисляет аудитор, — идиосинкратические.</t>
  </si>
  <si>
    <t>«Выручка зависит от допуска одного человека», «база 2–6 клиентов», «конкурент сидит</t>
  </si>
  <si>
    <t>у регулятора» — это несистематический риск. В классической теории он вообще не</t>
  </si>
  <si>
    <t>входит в ставку, потому что диверсифицируется. Здесь он не диверсифицируется</t>
  </si>
  <si>
    <t>(основатель вкладывает личные $150 тыс.), поэтому премия за недиверсифицированность</t>
  </si>
  <si>
    <t>и неликвидность законна — но её размер 3–8 п.п., а не 18 п.п.</t>
  </si>
  <si>
    <t>(в) Но у модели есть СВОЯ ошибка в ставке, и она в другую сторону, чем думает аудитор:</t>
  </si>
  <si>
    <t>валютная несогласованность. NPV считается в ДОЛЛАРАХ, а ставка взята сумовая</t>
  </si>
  <si>
    <t>номинальная. Сумовая номинальная ставка уже содержит ожидаемое ослабление сума.</t>
  </si>
  <si>
    <t>Проверка на сегодняшних данных: основная ставка ЦБ РУз — 14%, прогноз инфляции</t>
  </si>
  <si>
    <t>на конец 2026 — около 6,5%, средневзвешенные ставки по сумовым вкладам населения</t>
  </si>
  <si>
    <t>до года упали с 20,8% (январь 2025) до 16,6–17,6% (июнь 2026).</t>
  </si>
  <si>
    <t>То есть:</t>
  </si>
  <si>
    <t>- 19,7% сегодня выше реальной альтернативы (16,6–17,6%) — здесь модель консервативна;</t>
  </si>
  <si>
    <t>- в долларовом выражении та же сумовая альтернатива стоит примерно</t>
  </si>
  <si>
    <t>17% − (4–6% ожидаемого ослабления сума) ≈ 11–13% годовых в USD.</t>
  </si>
  <si>
    <t>Отсюда — единственно корректные конструкции, и их ровно две:</t>
  </si>
  <si>
    <t>- вариант «в сумах»: ставка ≈ 19–20%, дрейф курса 0 (так и было в модели);</t>
  </si>
  <si>
    <t>- вариант «в долларах»: ставка ≈ 13–15% в USD, дрейф курса −5%/год.</t>
  </si>
  <si>
    <t>Оба дают примерно одинаковый NPV. Требование аудитора «38% И дрейф −8%»</t>
  </si>
  <si>
    <t>— это третья, несуществующая конструкция, в которой ослабление сума вычитается</t>
  </si>
  <si>
    <t>трижды: в дрейфе, в сумовой номинальной ставке и в венчурной премии.</t>
  </si>
  <si>
    <t>Принять: 19,7% в базе (без изменений по существу) + обязательный публикуемый стресс</t>
  </si>
  <si>
    <t>на 28% = безрисковая 20% + 8 п.п. премии за недиверсифицированность, неликвидность и</t>
  </si>
  <si>
    <t>неопределённость самой модели. 28% срезает NPV семилетнего потока примерно на четверть,</t>
  </si>
  <si>
    <t>38% — примерно наполовину, и эта половина — уже вычтенный риск.</t>
  </si>
  <si>
    <t>Отдельно зафиксировать в отчёте: стресс-ставку 28% нельзя комбинировать с уже</t>
  </si>
  <si>
    <t>сниженными операционными допущениями — это ещё один двойной счёт.</t>
  </si>
  <si>
    <t>## 2. ВАЛЮТНЫЙ КУРС: ПРЕТЕНЗИЯ ПОЧТИ ЗАКРЫТА, НО НЕ ПОЛНОСТЬЮ</t>
  </si>
  <si>
    <t>Формально — да, закрыта: сценарий уже прогнан. Девальвация 8%/год:</t>
  </si>
  <si>
    <t>выживание 74% (даже выше базы), E[NPV] $441 тыс., медиана $314 тыс.</t>
  </si>
  <si>
    <t>То есть аудитор требовал прогнать то, что прогнано, и утверждал, что это</t>
  </si>
  <si>
    <t>«уронит NPV примерно в 1.5 раза от одной этой строки». Факт: −23%, и выживание</t>
  </si>
  <si>
    <t>не упало. Утверждение «минус 30–45% к долларовой выручке → NPV падает в 1.5 раза»</t>
  </si>
  <si>
    <t>арифметически неверно по трём причинам:</t>
  </si>
  <si>
    <t>1. Он применил дрейф к выручке и забыл про затраты. В конфиге</t>
  </si>
  <si>
    <t>usd_revenue_share = 0.15, но и usd_cost_share = 0.20 — то есть 80% затрат</t>
  </si>
  <si>
    <t>тоже сумовые. Ослабление сума удешевляет их в долларах ровно так же. Валютная</t>
  </si>
  <si>
    <t>экспозиция здесь — не выручка, а маржа. Именно поэтому выживание в сценарии</t>
  </si>
  <si>
    <t>даже слегка выросло: расходы сжались быстрее, чем выручка.</t>
  </si>
  <si>
    <t>2. Дрейф −8% завышен относительно сегодняшних данных. Прогноз инфляции ЦБ на</t>
  </si>
  <si>
    <t>конец 2026 — ~6,5%. При инфляции в США ~2,5% ППС-дрейф ≈ −4%/год. Исторические</t>
  </si>
  <si>
    <t>−8…−10% отражают период более высокой инфляции.</t>
  </si>
  <si>
    <t>3. Двойной счёт с сумовой ставкой дисконтирования (см. п.1).</t>
  </si>
  <si>
    <t>Что всё-таки принять: «бесплатный обед» в виде ровно нулевого дрейфа защищать</t>
  </si>
  <si>
    <t>нельзя. В базу — −5%/год (ППС-совместимо), стресс −8% уже есть.</t>
  </si>
  <si>
    <t>Эффект: ≈ −10…−15% к E[NPV]. Претензия закрыта на 80%: она валидна по знаку и</t>
  </si>
  <si>
    <t>невалидна по величине.</t>
  </si>
  <si>
    <t>## 3. КВАЛИФИКАЦИЯ: ФАКТ ПОДТВЕРЖДЁН, ВЫВОД ИЗ НЕГО — ПЕРЕГНУТ</t>
  </si>
  <si>
    <t>### 3.1. Что подтвердилось независимо (аудитор прав)</t>
  </si>
  <si>
    <t>Требование к совету банка подтверждено несколькими независимыми сводками:</t>
  </si>
  <si>
    <t>минимум три члена, включая главу и его заместителя, — высшее образование в сфере</t>
  </si>
  <si>
    <t>исламоведения и не менее 5 лет опыта работы в сфере шариатского права; специалисты</t>
  </si>
  <si>
    <t>по исламскому праву обязаны владеть арабским на уровне, достаточном для понимания и</t>
  </si>
  <si>
    <t>для лицензии банк обязан создать совет не менее 3 человек, назначить руководителя</t>
  </si>
  <si>
    <t>направления, внедрить систему контроля и утвердить политику соответствия;</t>
  </si>
  <si>
    <t>минимум один член совета обязан иметь сертификат AAOIFI, с 01.07.2027 — все члены;</t>
  </si>
  <si>
    <t>кандидатуры согласовываются с ЦБ.</t>
  </si>
  <si>
    <t>Вывод: основатель (ACCA, CFA L1, LLM, CPSS, без исламоведения, без арабского)</t>
  </si>
  <si>
    <t>не проходит ни в главы, ни в замы, ни в три обязательных кресла. Это факт.</t>
  </si>
  <si>
    <t>Линия «кресло» обязана умножаться на вероятность допуска. Принимаю.</t>
  </si>
  <si>
    <t>### 3.2. Где аудитор перегнул — пункт первый: «4-го кресла не будет»</t>
  </si>
  <si>
    <t>Аудитор ставит вероятность «технического» кресла в ~0,2, опираясь на пропорцию</t>
  </si>
  <si>
    <t>в Совете при ЦБ (4 улема + 1 технарь). Но у нас есть два наблюдаемых шариатских</t>
  </si>
  <si>
    <t>совета в Узбекистане, и технический член есть в обоих:</t>
  </si>
  <si>
    <t>- Совет при ЦБ (07.2026): 5 человек, из них 1 — управляющий партнёр Orient Audit Group.</t>
  </si>
  <si>
    <t>- Экспертный совет по исламскому финансированию Hamkorbank (действует уже сейчас):</t>
  </si>
  <si>
    <t>в составе — начальник юридического департамента банка (7 лет в банке) и</t>
  </si>
  <si>
    <t>ведущий специалист группы продаж продуктов исламского банкинга (23 года в банке,</t>
  </si>
  <si>
    <t>секретарь совета), и члены совета держат сертификаты CSAA и CIPA AAOIFI.</t>
  </si>
  <si>
    <t>То есть в реально работающем совете узбекского банка сидят юрист и финансист</t>
  </si>
  <si>
    <t>с сертификатами AAOIFI, а не только улемы.</t>
  </si>
  <si>
    <t>Базовая частота «в совете есть нешариатское кресло» по наблюдаемым случаям — 2 из 2,</t>
  </si>
  <si>
    <t>а не 1 из 5. Разумная оценка P(в конкретном банке есть ≥1 техническое кресло) ≈ 0,5–0,6.</t>
  </si>
  <si>
    <t>Но — честная оговорка, которая работает против меня: у Hamkorbank технические</t>
  </si>
  <si>
    <t>члены — это собственные сотрудники банка, а не оплачиваемые внешние советники.</t>
  </si>
  <si>
    <t>Поэтому P(кресло достанется ВНЕШНЕМУ платному консультанту) действительно низка.</t>
  </si>
  <si>
    <t>Итог по этой линии: принимаю ~0,40 вместо 0,35 аудитора — спор здесь копеечный.</t>
  </si>
  <si>
    <t>Кресло — не тот вопрос, на котором стоит бизнес.</t>
  </si>
  <si>
    <t>### 3.3. Где аудитор перегнул — пункт второй, решающий: он спутал ОДНУ линию с ВСЕЙ выручкой</t>
  </si>
  <si>
    <t>Аудитор корректно убивает линию «кресло» и затем экстраполирует этот вывод на всю модель.</t>
  </si>
  <si>
    <t>Между тем тот же самый приказ ЦБ, который закрывает кресло, создаёт минимум пять</t>
  </si>
  <si>
    <t>оплачиваемых работ, где исламоведческое образование НЕ требуется вообще. Все они</t>
  </si>
  <si>
    <t>подтверждены теми же источниками, на которые ссылается аудитор:</t>
  </si>
  <si>
    <t>| Роль, созданная регулированием | Требуется ли исламоведение | Профиль основателя |</t>
  </si>
  <si>
    <t>| Руководитель направления исламского банкинга — обязателен для лицензии: высшее финансово-экономическое или по исламским финансам + 7 лет в банковской системе + AAOIFI | НЕТ | Совпадает буквально. Это штатная роль (не продаётся как услуга), но её обязаны заполнить 10+ институтов — и до заполнения функция покупается снаружи |</t>
  </si>
  <si>
    <t>| Служба внутреннего шариатского контроля / внутреннего аудита — обязательна для лицензии: постановка, регламенты, методология, обучение внутреннего аудитора | НЕТ | Прямое попадание (ACCA + аттестат аудитора) |</t>
  </si>
  <si>
    <t>| Раздельный бухучёт исламских и традиционных операций в АБС + отчётность по AAOIFI FAS 40 (стандарт для «исламских окон», обязателен для конвенциональных банков с окном) | НЕТ | Прямое попадание (МСФО/PwC, CPSS — это сертификат именно по стандартам учёта и отчётности) |</t>
  </si>
  <si>
    <t>| Политика соответствия шариату + процедура очищения несоответствующего дохода + документация продуктов | НЕТ | Методология, а не фетва |</t>
  </si>
  <si>
    <t>| Подготовка членов советов и сотрудников к сертификации AAOIFI до 01.07.2027 | НЕТ | Дедлайн жёсткий и датированный; CIPA/CSAA — экзамены по учёту и аудиту, а не по фикху |</t>
  </si>
  <si>
    <t>| Внешний шариатский аудит для банков, где он НЕ член совета | НЕТ (см. п.4) | Ограничение конфликтом интересов — поклиентское, а не отраслевое |</t>
  </si>
  <si>
    <t>Это и есть содержательный ответ на вопрос задания: да, роли есть, и их больше,</t>
  </si>
  <si>
    <t>чем кресел. Причём аудитор нашёл их сам — и прочитал как угрозы:</t>
  </si>
  <si>
    <t>«ЦБ требует внутреннюю службу контроля» (значит, её кто-то ставит),</t>
  </si>
  <si>
    <t>«все обязаны иметь сертификат к 01.07.2027» (значит, всех кто-то готовит),</t>
  </si>
  <si>
    <t>«банк обязан вести раздельный учёт» (значит, кто-то его внедряет).</t>
  </si>
  <si>
    <t>Половина найденных им «убийц» — это описание спроса на его же товар.</t>
  </si>
  <si>
    <t>K4 делает ту же инверсию: «спрос будет на курсы подготовки к сертификации, а не</t>
  </si>
  <si>
    <t>на консультанта» — курсы подготовки к сертификации по стандартам учёта AAOIFI</t>
  </si>
  <si>
    <t>и есть услуга, которую продаёт носитель ACCA + CPSS; улемы здесь покупатели, а не продавцы.</t>
  </si>
  <si>
    <t>### 3.4. Где аудитор перегнул — пункт третий: избирательное применение малайзийской нормы</t>
  </si>
  <si>
    <t>Аудитор приводит правило BNM («один советник — один институт в одной индустрии»;</t>
  </si>
  <si>
    <t>«члены SAC при BNM не вправе входить в советы институтов») как аргумент против</t>
  </si>
  <si>
    <t>основателя. Но если Узбекистан скопирует эту норму — она в первую очередь выбивает</t>
  </si>
  <si>
    <t>названного конкурента: Садуллаев сидит в Совете при ЦБ, то есть по малайзийской</t>
  </si>
  <si>
    <t>логике теряет право на кресла в банках. Использовать норму, когда она бьёт по нашей</t>
  </si>
  <si>
    <t>стороне, и не замечать, что она сильнее бьёт по конкуренту, — это не анализ, это подбор.</t>
  </si>
  <si>
    <t>### 3.5. И одно внутреннее противоречие в аудите</t>
  </si>
  <si>
    <t>Аудитор одновременно утверждает: (а) дефицитна связка «исламовед + 5 лет шариата +</t>
  </si>
  <si>
    <t>арабский», которая не воспроизводится, и (б) цена услуг будет падать на 5% в год.</t>
  </si>
  <si>
    <t>Если узкое место не масштабируется, цена растёт, а не падает. Падает премия за</t>
  </si>
  <si>
    <t>сертификат — с этим я согласен. Поэтому правильная поправка не «−5%», а 0%</t>
  </si>
  <si>
    <t>реального роста (номинально ≈ инфляция USD), а не «+5%» модели и не «−5%» аудита.</t>
  </si>
  <si>
    <t>## 4. СВЯЗАННЫЕ ЛИЦА: ПРАВИЛЬНЫЙ МЕХАНИЗМ, НЕВЕРНАЯ АРИФМЕТИКА</t>
  </si>
  <si>
    <t>Статус факта: НЕ подтверждён независимо. Поиск по «связанные с банком лица»</t>
  </si>
  <si>
    <t>в узбекском банковском праве не дал подтверждения, что член совета по исламским</t>
  </si>
  <si>
    <t>финансам входит в этот перечень (перечень строится вокруг крупных акционеров,</t>
  </si>
  <si>
    <t>членов набсовета и правления и их аффилированных лиц). K4 ссылается на вторичные</t>
  </si>
  <si>
    <t>источники (blackswan.law, beone-uz.com). Держать как [C] — правдоподобно, не доказано.</t>
  </si>
  <si>
    <t>Но по существу спорить не о чем и незачем: принцип независимости аудитора</t>
  </si>
  <si>
    <t>универсален. Член совета банка А не может быть независимым внешним шариатским</t>
  </si>
  <si>
    <t>аудитором банка А. Это верно и без узбекской нормы.</t>
  </si>
  <si>
    <t>И вот где арифметика аудита ломается. Связанность — свойство пары «человек–институт»,</t>
  </si>
  <si>
    <t>а не свойство профессии. Она никак не мешает быть внешним шариатским аудитором</t>
  </si>
  <si>
    <t>банков Б, В, Г, МФО и лизинговых компаний, где он не член совета.</t>
  </si>
  <si>
    <t>Поэтому правильная поправка — не «3 линии → 1 линия» (уровень выручки делится на 2–3),</t>
  </si>
  <si>
    <t>а «нельзя штабелировать кресло и внешний аудит У ОДНОГО клиента» — то есть</t>
  </si>
  <si>
    <t>ограничение на состав портфеля, а не на его размер. При базе ≥3 клиентов</t>
  </si>
  <si>
    <t>выручка сохраняется и просто перераспределяется: у клиента А — кресло, у клиентов Б и В —</t>
  </si>
  <si>
    <t>аудит и методология. Теряется только экономия на масштабе внутри одного клиента:</t>
  </si>
  <si>
    <t>это примерно −10…−15% к ARPU, а не −50%.</t>
  </si>
  <si>
    <t>Где аудитор прав: при базе 2 клиента ограничение действительно кусается,</t>
  </si>
  <si>
    <t>и это ещё один довод в пользу более широкого TAM (п.5), а не более узкого.</t>
  </si>
  <si>
    <t>## 5. РАЗМЕР РЫНКА: АУДИТОР ЗАНИЗИЛ, ПОТОМУ ЧТО СЧИТАЛ ТОЛЬКО БАНКИ</t>
  </si>
  <si>
    <t>Ключевой факт, которого нет ни у аудитора, ни у K4:</t>
  </si>
  <si>
    <t>около 12 микрофинансовых организаций Узбекистана УЖЕ предоставляют продукты</t>
  </si>
  <si>
    <t>исламского финансирования. С 2024 года действует законодательство, позволяющее МФО</t>
  </si>
  <si>
    <t>предлагать мурабаху, иджару, салам, мударабу и мушараку, и ЦБ утвердил отдельное</t>
  </si>
  <si>
    <t>положение об исламских услугах МФО. Это не «горизонт 2030» — это работающие</t>
  </si>
  <si>
    <t>сегодня институты, которым уже сейчас нужны шариатская документация продуктов,</t>
  </si>
  <si>
    <t>политика соответствия и внутренний контроль.</t>
  </si>
  <si>
    <t>Аудитор об МФО пишет одну строку — «платёжеспособность МФО на уровне $1–3 тыс./мес.</t>
  </si>
  <si>
    <t>за консультанта нереальна» — и вычёркивает их по цене, а не по существованию.</t>
  </si>
  <si>
    <t>Но TAM — это счётчик институтов, а цена — отдельный параметр. Вычёркивать клиента</t>
  </si>
  <si>
    <t>из TAM за то, что он дёшев, вместо того чтобы поставить ему свою цену, — подмена:</t>
  </si>
  <si>
    <t>она одновременно занижает и TAM, и не повышает ARPU оставшихся.</t>
  </si>
  <si>
    <t>Вторая ошибка: он пересобрал TAM, но оставил max_capture_rate = 0.10 из модели.</t>
  </si>
  <si>
    <t>10% — это предел для массового рынка с сотнями клиентов. На рынке из 8–24 институтов,</t>
  </si>
  <si>
    <t>где кредибельных провайдеров 3–5, доля одного игрока в 10% бессмысленна: связывающим</t>
  </si>
  <si>
    <t>ограничением должна быть мощность исполнителя, а не произвольная доля.</t>
  </si>
  <si>
    <t>Именно из-за этой несогласованности у него выходит «0,3–1,1 клиента» и вывод,</t>
  </si>
  <si>
    <t>что бизнес не существует. Это артефакт переноса параметра между двумя разными</t>
  </si>
  <si>
    <t>определениями рынка.</t>
  </si>
  <si>
    <t>Сводка фактов по темпу (обе стороны цитируют выборочно):</t>
  </si>
  <si>
    <t>- минимум одно исламское окно до конца 2026 — план ЦБ [подтверждено];</t>
  </si>
  <si>
    <t>- более 10 банков готовятся — заявление главы ЦБ [подтверждено как намерение];</t>
  </si>
  <si>
    <t>- 2 полноценных исламских банка в 2026–2030, минимум 10 к 2030 [подтверждено];</t>
  </si>
  <si>
    <t>- ~12 МФО уже работают с исламскими продуктами [подтверждено, у критиков отсутствует];</t>
  </si>
  <si>
    <t>- иджара прямо включена в ЗРУ-1126 (исламский лизинг с правом выкупа) — 25 банков</t>
  </si>
  <si>
    <t>и 69 лизинговых компаний вправе заниматься лизингом;</t>
  </si>
  <si>
    <t>- такафул — отдельного закона поиском не подтверждено; здесь аудитор прав,</t>
  </si>
  <si>
    <t>такафул в базу класть нельзя.</t>
  </si>
  <si>
    <t>Принять TAM = 8 / 14 / 24 платящих института на 5-летнем горизонте, с разбивкой:</t>
  </si>
  <si>
    <t>банки с окном 2/5/9 · МФО 5/7/10 · лизинг 1/2/4 · прочие (страховые/госинституты) 0/0/1.</t>
  </si>
  <si>
    <t>И обязательно тарифицировать по ярусам — банк и МФО не могут иметь один ARPU.</t>
  </si>
  <si>
    <t>Одновременно max_capture_rate поднять с 0,10 до 0,30.</t>
  </si>
  <si>
    <t>## 6. ЧЕК: СРАВНЕНИЕ НЕ С ТЕМ ТОВАРОМ</t>
  </si>
  <si>
    <t>Аудитор берёт раскрытие Bank Islam Malaysia (вознаграждение члена шариатского</t>
  </si>
  <si>
    <t>комитета) и делит на разницу в ВВП на душу. Три ошибки.</t>
  </si>
  <si>
    <t>(а) Ошибка категории — сравниваются разные SKU. Малайзийская цифра — это</t>
  </si>
  <si>
    <t>гонорар за кресло в банке с сорокалетней, полностью укомплектованной исламской</t>
  </si>
  <si>
    <t>операцией: продукты написаны, регламенты стоят, учёт настроен, работа члена совета —</t>
  </si>
  <si>
    <t>несколько заседаний и подписи. Это цена самой дешёвой линии в стационарном режиме.</t>
  </si>
  <si>
    <t>ARPU в модели — это преимущественно работа по внедрению с нуля: подготовка</t>
  </si>
  <si>
    <t>лицензионного досье, политика соответствия шариату, процедура очищения дохода,</t>
  </si>
  <si>
    <t>документация 3–8 продуктов, постановка службы внутреннего шариатского контроля,</t>
  </si>
  <si>
    <t>раздельный учёт в АБС, отчётность по AAOIFI FAS 40, обучение персонала под</t>
  </si>
  <si>
    <t>дедлайн 01.07.2027. Внедренческий проект тарифицируется как проект, а не как гонорар</t>
  </si>
  <si>
    <t>за заседание. Сравнивать зрелое кресло с гринфилд-внедрением — сравнивать разные товары.</t>
  </si>
  <si>
    <t>(б) Поправка «на бедность страны» направлена не туда. Для дефицитного,</t>
  </si>
  <si>
    <t>нормативно обязательного и незаменимого входа поправка вниз по ВВП не работает:</t>
  </si>
  <si>
    <t>такие входы в бедных странах стоят международных денег (ровно поэтому узбекские</t>
  </si>
  <si>
    <t>банки платят Big4 по региональным ставкам, а не по «узбекским»). Узкое место,</t>
  </si>
  <si>
    <t>которое сам же аудитор и нашёл (исламовед + 5 лет + арабский + гражданство РУз</t>
  </si>
  <si>
    <t>для 2/3 состава), в Узбекистане острее, чем в Малайзии, при спросе от 10+ институтов.</t>
  </si>
  <si>
    <t>(в) Его же данные по ОАЭ бьют по его выводу. $800–3 300 на человека в месяц —</t>
  </si>
  <si>
    <t>этот диапазон накрывает медиану модели $2 500, а не опровергает её.</t>
  </si>
  <si>
    <t>Что стоят услуги, если кресло отпадает (оценка снизу вверх, ценников по региону</t>
  </si>
  <si>
    <t>в открытом доступе нет — все консультанты дают цену по запросу; это ограничение</t>
  </si>
  <si>
    <t>честно фиксирую):</t>
  </si>
  <si>
    <t>| Услуга | Оценка | Основание |</t>
  </si>
  <si>
    <t>| Внедрение исламского окна «под ключ» (досье на лицензию, политики, документация продуктов, внутренний шариат-контроль, раздельный учёт/FAS 40) | $30–80 тыс. за проект, 9–15 мес. = $2,5–6 тыс./мес. эквивалент | Объём сопоставим с постановкой отдельной бизнес-линии; альтернатива клиента — Big4/Amanie по региональным ставкам |</t>
  </si>
  <si>
    <t>| Внешний шариатский аудит (годовой цикл) | $8–25 тыс./год = $0,7–2,1 тыс./мес. | Порядок типового годового ассюранс-мандата на одну бизнес-линию |</t>
  </si>
  <si>
    <t>| Сертификация одного продукта | $2–6 тыс. за продукт, 3–8 продуктов в первый год | Сертификаты шариатского соответствия выдаются на год и продлеваются ежегодным аудитом — это повторяющийся, а не разовый доход |</t>
  </si>
  <si>
    <t>| Подготовка сотрудников к AAOIFI (CIPA/CSAA) под дедлайн 01.07.2027 | $1,5–3 тыс. на человека сверх экзаменационного взноса (CSAA $800, CPFAS $750) | Взносы AAOIFI подтверждены; наценка за подготовку — стандартная практика |</t>
  </si>
  <si>
    <t>| Кресло в совете (если случится) | $0,6–1,5 тыс./мес. | Принимаю цифру аудитора |</t>
  </si>
  <si>
    <t>Итого по банку без кресла: $3–7 тыс./мес. в год внедрения, $1,5–3 тыс./мес.</t>
  </si>
  <si>
    <t>в стационаре. По МФО/лизингу: $0,4–1,2 тыс./мес.</t>
  </si>
  <si>
    <t>Принять смешанный ARPU = 1 600 / 3 000 / 5 200 $/мес. — это сокращение на ~33%</t>
  </si>
  <si>
    <t>от модели, а не на 60% от аудитора. И обязательно: ARPU должен быть двухфазным</t>
  </si>
  <si>
    <t>(внедрение дороже стационара), иначе модель неверна по форме, а не только по уровню.</t>
  </si>
  <si>
    <t>## 7. ПРОЧЕЕ ПЕРЕУСЕРДСТВОВАНИЕ</t>
  </si>
  <si>
    <t>7.1. Задержка до первого платящего клиента 6/12/24 мес. — неверная посылка.</t>
  </si>
  <si>
    <t>Аудитор пишет: «платить некому, пока нет ни одного работающего исламского окна».</t>
  </si>
  <si>
    <t>Это неверно дважды: (а) ~12 МФО платят уже сегодня; (б) работа консультанта</t>
  </si>
  <si>
    <t>происходит ДО открытия окна — совет, подразделение, политики и внутренний контроль</t>
  </si>
  <si>
    <t>обязаны существовать на момент подачи на лицензию. Пред-лицензионная фаза и есть</t>
  </si>
  <si>
    <t>фаза оплаты. Плюс датированный дедлайн 01.07.2027 форсирует расходы в 2026–27.</t>
  </si>
  <si>
    <t>Принять 3 / 6 / 12 мес.</t>
  </si>
  <si>
    <t>7.2. p_no_demand = 0.28 — перегиб, хотя механизм реален. «Маржа уходит внутрь</t>
  </si>
  <si>
    <t>банка» — верно как долгосрочный тренд, но постановка внутренней функции сама</t>
  </si>
  <si>
    <t>покупается снаружи один раз, а внешний шариатский аудит по определению не может</t>
  </si>
  <si>
    <t>быть внутренним. Принять 0,18.</t>
  </si>
  <si>
    <t>7.3. DSO 60/100/150 — перегиб по составу клиентов. Госбанковский казначейский</t>
  </si>
  <si>
    <t>цикл — реальность, но МФО, лизинговые и частные банки (Hamkorbank и подобные)</t>
  </si>
  <si>
    <t>платят иначе. Принять 45 / 75 / 120, prepay_share = 0,15.</t>
  </si>
  <si>
    <t>7.4. Отток 1,5/2,5/4,0%/мес. + непродление 25%/год — двойной счёт того же события.</t>
  </si>
  <si>
    <t>Непродление контракта — это и есть основная форма оттока в такой практике.</t>
  </si>
  <si>
    <t>Заложить его дважды нельзя. Принять 1,0 / 1,8 / 3,0%/мес. + биномиальное</t>
  </si>
  <si>
    <t>непродление 15%/год на контракты типа «кресло/годовой ретейнер».</t>
  </si>
  <si>
    <t>Отдельно: лумпи-отток повышает дисперсию. При наличии опциона на закрытие</t>
  </si>
  <si>
    <t>рост дисперсии бьёт по медиане сильнее, чем по матожиданию. Аудитор же</t>
  </si>
  <si>
    <t>берёт поправки, которые бьют по медиане, и записывает их в падение E[NPV] —</t>
  </si>
  <si>
    <t>это перенос эффекта не в тот показатель.</t>
  </si>
  <si>
    <t>7.5. winrate_impact = 0.50 — перегиб. На рынке, ограниченном предложением</t>
  </si>
  <si>
    <t>квалифицированных людей (а аудитор сам доказывает, что он ограничен именно им),</t>
  </si>
  <si>
    <t>конкурент отнимает долю слабее, чем на рынке, ограниченном спросом.</t>
  </si>
  <si>
    <t>Принять 0,35 при p_competitor_at_start = 1,00 (принято) и</t>
  </si>
  <si>
    <t>entry_hazard_month = 0,05 (вместо 0,03 и 0,06).</t>
  </si>
  <si>
    <t>7.6. K4: «$1,7 млн исламских услуг за полгода — вот весь рынок». Это объём</t>
  </si>
  <si>
    <t>исламского финансирования, выданного клиентам (22 млрд сум), то есть кредитный</t>
  </si>
  <si>
    <t>портфель. Расходы на комплаенс и внедрение определяются регуляторными требованиями,</t>
  </si>
  <si>
    <t>а не размером портфеля — банк, открывающий окно с нулевым портфелем, обязан</t>
  </si>
  <si>
    <t>оплатить совет, подразделение, контроль и учёт в полном объёме. Подставлять</t>
  </si>
  <si>
    <t>портфель клиента вместо бюджета на соответствие — ошибка категории.</t>
  </si>
  <si>
    <t>7.7. K4: «один success fee ≈ весь пятилетний NPV рекомендованной практики».</t>
  </si>
  <si>
    <t>Сравнивается валовой гонорар при условии закрытия сделки с вероятностно</t>
  </si>
  <si>
    <t>взвешенным, продисконтированным, посленалоговым NPV. Это сравнение</t>
  </si>
  <si>
    <t>несопоставимых величин — та же ошибка условного потока, что и в п.1, только</t>
  </si>
  <si>
    <t>в пользу альтернативы. Чтобы сравнение было честным, success fee надо умножить</t>
  </si>
  <si>
    <t>на вероятность закрытия мандата, вычесть 12–18 месяцев без выручки, налоги и</t>
  </si>
  <si>
    <t>конфликт с текущим работодателем, который K4 сам же признаёт.</t>
  </si>
  <si>
    <t>7.8. K4: «ложная точность — 19,7% с десятой долей». Справедливо как стилистика</t>
  </si>
  <si>
    <t>отчёта, но 19,7% — не оценка, а наблюдаемая рыночная ставка; её точность</t>
  </si>
  <si>
    <t>законна. Претензия должна быть к точности выводов ($570 тыс.), и вот она верна:</t>
  </si>
  <si>
    <t>результаты надо публиковать диапазоном.</t>
  </si>
  <si>
    <t>## 8. КОНСТРУКЦИЯ ВЕСОВ (претензия K4): НАПОЛОВИНУ СПРАВЕДЛИВА, НАПОЛОВИНУ — НЕВЕРНОЕ ЛЕКАРСТВО</t>
  </si>
  <si>
    <t>8.1. A5 «Барьеры в НАШУ пользу» — претензия СПРАВЕДЛИВА. Это не придирка.</t>
  </si>
  <si>
    <t>В каноническом GE–McKinsey «высота барьеров входа» — свойство отрасли и</t>
  </si>
  <si>
    <t>законно живёт на оси привлекательности. Но формулировка «в нашу пользу»</t>
  </si>
  <si>
    <t>превращает его в относительный критерий позиции: он измеряет не отрасль,</t>
  </si>
  <si>
    <t>а соотношение «отрасль — мы». Такой критерий принадлежит оси B.</t>
  </si>
  <si>
    <t>Арифметика K4 верна: 0,70 × 0,12 = 8,4 п.п., эффективный вес «соответствия</t>
  </si>
  <si>
    <t>основателю» ≈ 38,4%, а не 30%. И это не обвинение в подгонке: веса</t>
  </si>
  <si>
    <t>зафиксированы и опубликованы ДО генерации идей, K4 это сам признаёт («она не в</t>
  </si>
  <si>
    <t>скоринге, она в конструкции»). Но дефект конструкции реален и проверяем:</t>
  </si>
  <si>
    <t>надо перенести A5 на ось B (или расщепить: A5a «высота барьеров как свойство</t>
  </si>
  <si>
    <t>отрасли» / B8 «какая доля этих барьеров работает на нас») и пересчитать ранжирование.</t>
  </si>
  <si>
    <t>Если FIN-01 выигрывает A5 в основном за счёт личного сертификата — перенос стоит</t>
  </si>
  <si>
    <t>ему до 8 п.п. против капиталоёмких идей, и это может изменить порядок.</t>
  </si>
  <si>
    <t>Претензию нельзя закрыть аргументом; её можно закрыть только пересчётом.</t>
  </si>
  <si>
    <t>8.2. A7 «потенциал выхода» = 5,6% — арифметика верна, ДИАГНОЗ верен,</t>
  </si>
  <si>
    <t>ЛЕКАРСТВО неверно.</t>
  </si>
  <si>
    <t>Заказчик сформулировал двухкритериальную задачу: «и денежный поток, и опцион</t>
  </si>
  <si>
    <t>на выход». Любая линейная свёртка в один балл по определению позволяет</t>
  </si>
  <si>
    <t>компенсировать провал по одному критерию успехом по другому — поэтому спор о том,</t>
  </si>
  <si>
    <t>8% там или 20%, второстепенен: при любом весе идея с околонулевым выходом может</t>
  </si>
  <si>
    <t>выиграть за счёт скорости до дохода. Поднять A7 до 0,20 — значит заменить один</t>
  </si>
  <si>
    <t>произвольный коэффициент другим и получить тот же класс ошибки.</t>
  </si>
  <si>
    <t>Правильное лекарство — не вес, а ограничение: «потенциал выхода» должен быть</t>
  </si>
  <si>
    <t>воротами (например, минимум 5/10 по A7 — иначе идея не участвует в ранжировании</t>
  </si>
  <si>
    <t>как основная), а не слагаемым. Тогда FIN-01 либо проходит порог отчуждаемости,</t>
  </si>
  <si>
    <t>либо честно переклассифицируется в «личную практику / вторую линию дохода» —</t>
  </si>
  <si>
    <t>что, кстати, ровно тот вывод, к которому независимо пришли оба критика.</t>
  </si>
  <si>
    <t>Итого по п.8: 1,5 претензии из 2 — попадание. Обе требуют не спора, а пересчёта:</t>
  </si>
  <si>
    <t>A5 → ось B, A7 → ворота. Результат пересчёта надо опубликовать даже если FIN-01 устоит.</t>
  </si>
  <si>
    <t>## 9. ОЖИДАЕМЫЙ ИТОГ ПОСЛЕ СВЕДЕНИЯ (оценка до перезапуска)</t>
  </si>
  <si>
    <t>Сведённый набор — это не среднее между моделью и аудитором: по части параметров</t>
  </si>
  <si>
    <t>я целиком принимаю аудитора (налоги, сукук, выход, конкурент), по части — отбиваю</t>
  </si>
  <si>
    <t>(ставка, FX-величина, TAM, чек, задержка, порог отказа).</t>
  </si>
  <si>
    <t>Грубая оценка результата перезапуска (подлежит проверке Монте-Карло, не расчёт):</t>
  </si>
  <si>
    <t>- Выживание: 50–58% (модель 72%, аудитор 25–35%) — завышение было в ~1,3 раза, не в 2,3.</t>
  </si>
  <si>
    <t>Значительная часть разрыва с аудитором создаётся не выручкой, а порогом отказа:</t>
  </si>
  <si>
    <t>при пороге фирмы $8–22 тыс. выживание падает к 35–40% даже на сведённых параметрах;</t>
  </si>
  <si>
    <t>при пороге практики $5–14 тыс. — держится около 55%.</t>
  </si>
  <si>
    <t>- E[NPV] при ставке 19,7%: $150–260 тыс. (модель $570 тыс., аудитор $40–90 тыс.) —</t>
  </si>
  <si>
    <t>завышение было в 2–3 раза, не в 7–10.</t>
  </si>
  <si>
    <t>- E[NPV] при стрессовой ставке 28%: $110–190 тыс.</t>
  </si>
  <si>
    <t>- Медиана: $60–130 тыс.; при вычете альтернативной зарплаты $4 тыс./мес. медиана</t>
  </si>
  <si>
    <t>по-прежнему уходит в минус — этот вывод исходной работы сведение НЕ отменяет,</t>
  </si>
  <si>
    <t>и он остаётся главным честным аргументом против идеи.</t>
  </si>
  <si>
    <t>- Пик потребности в капитале: $25–40 тыс. (а не $52–74 тыс.), если модель</t>
  </si>
  <si>
    <t>перестраивается в практику: max_fte 4, fixed_opex 700/1 300/2 200.</t>
  </si>
  <si>
    <t># СВЕДЕНИЕ</t>
  </si>
  <si>
    <t>| # | Параметр | Было в модели | Требует аудитор (K2/K4) | ПРИНЯТЬ | Почему одной фразой |</t>
  </si>
  <si>
    <t>|---|---|---|---|---|---|</t>
  </si>
  <si>
    <t>| 1 | Ставка дисконтирования | 19,7% (сумовой депозит) | 38% | 19,7% база + обязательный стресс 28% | Монте-Карло уже разыгрывает провалы и берёт среднее по всем прогонам — венчурная ставка вычла бы тот же риск второй раз; законна лишь премия 8 п.п. за недиверсифицированность и неликвидность |</t>
  </si>
  <si>
    <t>| 2 | Курс сума, дрейф | 0,0 | −8%/год | −5%/год (стресс −8% уже прогнан: 74% / $441 тыс.) | Прогноз инфляции ЦБ ~6,5% даёт ППС-дрейф ≈ −4%; 80% затрат тоже сумовые, так что экспозиция — маржа, а не выручка |</t>
  </si>
  <si>
    <t>| 3 | ARPU, $/мес. (смешанный) | 2 500 / 4 500 / 8 000 | 900 / 1 800 / 3 500 | 1 600 / 3 000 / 5 200 | Аудитор сравнил зрелое малайзийское кресло с гринфилд-внедрением; внедрение, FAS 40, внутренний контроль и обучение стоят дороже гонорара за заседание |</t>
  </si>
  <si>
    <t>| 3а | ARPU по ярусам (новое) | не было | не было | банк 3 000–7 000 в год внедрения, 1 500–3 000 в стационаре; МФО/лизинг 400–1 200; кресло 600–1 500 | Банк и МФО не могут иметь один чек; ARPU обязан быть двухфазным |</t>
  </si>
  <si>
    <t>| 4 | Линий выручки с ОДНОГО клиента | 3 (складываются) | 1 | 2 из 3 у клиента, 3-я — у другого клиента | Связанность — свойство пары «человек–банк», а не профессии; это ограничение на состав портфеля (−10…−15% к ARPU), а не деление выручки надвое |</t>
  </si>
  <si>
    <t>| 5 | TAM, платящих институтов | 12 / 20 / 32 | 3 / 6 / 11 | 8 / 14 / 24 (банки 2/5/9 · МФО 5/7/10 · лизинг 1/2/4 · прочие 0/0/1) | ~12 МФО УЖЕ продают исламские продукты по утверждённому положению ЦБ — это сегодняшний спрос, а не 2030 год |</t>
  </si>
  <si>
    <t>| 6 | max_capture_rate | 0,10 | оставил 0,10 на урезанном TAM | 0,30 | 10% — предел массового рынка; на рынке из 14 институтов связывает мощность исполнителя, а не доля; иначе получается артефакт «0,3 клиента» |</t>
  </si>
  <si>
    <t>| 7 | P(основатель получит кресло за 24 мес.) | 1,0 (неявно) | 0,35 | 0,40, и применять ТОЛЬКО к линии «кресло» (~25% выручки) | Требование «3 члена-исламоведа + арабский» подтверждено независимо; но технические кресла есть в обоих наблюдаемых советах РУз (ЦБ и Hamkorbank с CSAA/CIPA) |</t>
  </si>
  <si>
    <t>| 8 | Задержка до 1-го платящего клиента | 1 / 2 / 4 мес. | 6 / 12 / 24 мес. | 3 / 6 / 12 мес. | Совет, подразделение и внутренний контроль обязаны существовать ДО подачи на лицензию — оплата идёт в пред-лицензионной фазе, плюс 12 работающих МФО |</t>
  </si>
  <si>
    <t>| 9 | p_no_demand | 0,10 | 0,28 | 0,18 | Функция уходит внутрь банка, но постановку внутренней функции покупают снаружи один раз, а внешний аудит внутренним быть не может |</t>
  </si>
  <si>
    <t>| 10 | p_fail_to_launch | 0,06 | — | 0,10 | Персональный допуск согласуется с ЦБ поимённо |</t>
  </si>
  <si>
    <t>| 11 | Отток, %/мес. | 0,5 / 1,2 / 2,5 | 1,5 / 2,5 / 4,0 + непродление 25%/год | 1,0 / 1,8 / 3,0 + биномиальное непродление 15%/год | Механизм лумпи принимаю, уровень — нет: непродление и отток у аудитора учтены дважды |</t>
  </si>
  <si>
    <t>| 12 | DSO, дней | 30 / 50 / 80 | 60 / 100 / 150 | 45 / 75 / 120 | Казначейский цикл касается госбанков, а половина сведённого TAM — МФО, лизинг и частные банки |</t>
  </si>
  <si>
    <t>| 13 | prepay_share | 0,20 | 0,10 | 0,15 | Предоплата редка, но не отсутствует — по внедренческим проектам она стандартна |</t>
  </si>
  <si>
    <t>| 14 | price_escalation_annual | +5% | −5% | 0% (реальный, номинально ≈ инфляция USD) | Премия за сертификат действительно сгорает, но узкое место (исламовед+арабский) не воспроизводится — цена не может падать |</t>
  </si>
  <si>
    <t>| 15 | p_competitor_at_start | 0,75 | 1,00 | 1,00 — принимаю | Конкуренты названы поимённо, один в Совете при ЦБ |</t>
  </si>
  <si>
    <t>| 16 | winrate_impact конкуренции | 0,25 | 0,50 | 0,35 | Рынок ограничен предложением квалифицированных людей, а на таком рынке конкурент отнимает долю слабее |</t>
  </si>
  <si>
    <t>| 17 | entry_hazard_month | 0,03 | 0,06 | 0,05 | Вход дёшев, но требует связки «улем + финансист», которой мало |</t>
  </si>
  <si>
    <t>| 18 | prob_exit_market | 0,35 | 0,10 | 0,15 | Персональный допуск не передаётся, но клиентская книга и методология продаются |</t>
  </si>
  <si>
    <t>| 19 | ebitda_multiple | 1,5 / 3,0 / 5,0 | 0,5 / 1,0 / 1,5 | 0,5 / 1,2 / 2,0 — почти принимаю | Покупается книга и трек, а не франшиза |</t>
  </si>
  <si>
    <t>| 20 | Налоговый режим | оборот 4% при потолке $80 тыс. | исправить | Принимаю: оборот 4% до $80 тыс./год, далее НДС 12% + прибыль 15% | Настоящий баг конфига: целевая выручка пробивает потолок на 2-й год |</t>
  </si>
  <si>
    <t>| 21 | Сукук | в базе | опцион p=0,3, не ранее 2028 | Принимаю | Глава о сукук — в непринятом законе «О рынке капитала» |</t>
  </si>
  <si>
    <t>| 22 | Такафул как сегмент TAM | входил неявно | вычеркнуть | Принимаю: вычеркнуть | Отдельного закона/главы о такафуле подтвердить не удалось |</t>
  </si>
  <si>
    <t>| 23 | max_fte | 14 | не менял | 4 | Оба критика правы: это практика, а не фирма — но поправку надо применять и к затратам |</t>
  </si>
  <si>
    <t>| 24 | fixed_opex_month, $ | 1 200 / 2 200 / 3 800 | не менял | 700 / 1 300 / 2 200 | Симметрия к п.23 |</t>
  </si>
  <si>
    <t>| 25 | abandon.min_monthly_revenue, $/мес. | 8 000 / 14 000 / 22 000 | не менял (и на нём построил «выживание 25–35%») | 5 000 / 9 000 / 14 000 | Главная асимметрия аудита: выручку он урезал в 50 раз, а критерий закрытия оставил от фирмы с 14 FTE |</t>
  </si>
  <si>
    <t>| 26 | common_factor_strength | 0,15 | перемножал поправки как независимые | 0,30 | Поправки «чек × стекинг × TAM × доступ» коррелированы; перемножение даёт фиктивные 50x вместо 4–7x |</t>
  </si>
  <si>
    <t>| 27 | Вес A5 «барьеры в нашу пользу» | 0,12 на оси A (70%) | перенести — ось «я» весит 38,4% | Перенести A5 на ось B и ПЕРЕСЧИТАТЬ ранжирование | «В нашу пользу» — относительный критерий позиции, ему не место на оси привлекательности отрасли; закрывается только пересчётом |</t>
  </si>
  <si>
    <t>| 28 | Вес A7 «потенциал выхода» | 0,08 × 0,70 = 5,6% | поднять | Не вес, а ВОРОТА: минимум 5/10 по A7 для допуска в основные кандидаты | Задача двухкритериальная; линейная свёртка при любом весе позволяет компенсировать нулевой выход скоростью до дохода |</t>
  </si>
  <si>
    <t>### Итог сведения (оценка, требует перезапуска модели)</t>
  </si>
  <si>
    <t>| Показатель | Модель | Аудитор | После сведения |</t>
  </si>
  <si>
    <t>| Выживание | 72% | 25–35% | 50–58% |</t>
  </si>
  <si>
    <t>| E[NPV] при 19,7% | $570 тыс. | $40–90 тыс. | $150–260 тыс. |</t>
  </si>
  <si>
    <t>| E[NPV] при стрессе 28% | — | — | $110–190 тыс. |</t>
  </si>
  <si>
    <t>| Медиана NPV | $408 тыс. | ≈0 (−40…+60 тыс.) | $60–130 тыс. |</t>
  </si>
  <si>
    <t>| Медиана за вычетом зарплаты $4 тыс./мес. | −$74 тыс. | — | остаётся отрицательной |</t>
  </si>
  <si>
    <t>| Пик потребности в капитале | $52–74 тыс. | — | $25–40 тыс. |</t>
  </si>
  <si>
    <t>Масштаб завышения: E[NPV] — примерно в 2–3 раза (не 7–10), выживание — примерно</t>
  </si>
  <si>
    <t>в 1,3 раза (не 2,3). Знак вывода исходной работы сведение не отменяет; отменяет</t>
  </si>
  <si>
    <t>его масштаб: это личная практика с положительным матожиданием и отрицательной</t>
  </si>
  <si>
    <t>медианой после вычета альтернативной зарплаты, а не фирма на 14 FTE.</t>
  </si>
  <si>
    <t>## Что обязательно доперепроверить по первоисточникам (не поиском)</t>
  </si>
  <si>
    <t>1. Точный текст приказа ЦБ (Минюст 17.07.2026) на lex.uz: предельная численность</t>
  </si>
  <si>
    <t>совета и есть ли явные требования к 4-му и 5-му членам; прямой запрет на</t>
  </si>
  <si>
    <t>совмещение советов нескольких банков.</t>
  </si>
  <si>
    <t>2. Входит ли член совета по исламским финансам в перечень связанных с банком лиц</t>
  </si>
  <si>
    <t>(независимо не подтверждено, уровень достоверности [C]).</t>
  </si>
  <si>
    <t>3. Требуется ли аудиторская лицензия РУз для ВНЕШНЕГО шариатского аудита</t>
  </si>
  <si>
    <t>(если да — линия закрыта для физлица, и п.3а ARPU падает ещё на ~20%).</t>
  </si>
  <si>
    <t>4. Признаёт ли ЦБ CPSS как «сертификат по направлению деятельности» или требуется CSAA.</t>
  </si>
  <si>
    <t>5. Действующий состав Экспертного совета Hamkorbank после вступления приказа в силу —</t>
  </si>
  <si>
    <t>это единственный наблюдаемый тест гипотезы «техническое кресло существует».</t>
  </si>
  <si>
    <t>Круг 3. Критика модели</t>
  </si>
  <si>
    <t># К3 — КРИТИКА САМОЙ МОДЕЛИ (механика, структура, метод)</t>
  </si>
  <si>
    <t>Предмет: work/sim/engine.py, work/sim/run_sim.py, work/scoring/score_lib.py,</t>
  </si>
  <si>
    <t>work/scoring/passes.py, work/state/02_weights_LOCKED.md.</t>
  </si>
  <si>
    <t>Не предмет: значения допущений (TAM, чек, отток, мультипликатор) — это круг другого критика.</t>
  </si>
  <si>
    <t>Здесь проверяется только одно: правильно ли устроена сама машина.</t>
  </si>
  <si>
    <t>Все цифры ниже воспроизводимы. База сравнения, если не сказано иное:</t>
  </si>
  <si>
    <t>конфиг FIN-01+, сценарий base, n=20 000, seed=101, ставка 19.7%.</t>
  </si>
  <si>
    <t>E_NPV базы = $569 643, выживание 72.2%, E[пиковый капитал] = $51 347.</t>
  </si>
  <si>
    <t>Каждый пункт проверялся ПРОГОНОМ кода с изменённым одним параметром.</t>
  </si>
  <si>
    <t>## СВОДНАЯ ТАБЛИЦА ВЕРДИКТОВ</t>
  </si>
  <si>
    <t>| # | Что | Вердикт | Направление | Величина |</t>
  </si>
  <si>
    <t>|---|-----|---------|-------------|----------|</t>
  </si>
  <si>
    <t>| 1 | НДС обнуляется целиком | ОШИБКА | завышает | −$112 тыс (−19.7%) при честном НДС |</t>
  </si>
  <si>
    <t>| 2 | Порог оборотного налога в USD | НЕТОЧНОСТЬ | обе стороны | ±0.1% (мало), но структура неверна |</t>
  </si>
  <si>
    <t>| 3 | Перенос убытков (nol) | арифметика КОРРЕКТНА, база — НЕТОЧНОСТЬ | завышает | лимиты НК не учтены |</t>
  </si>
  <si>
    <t>| 4 | Соцналог 12% | ОШИБКА в двух местах | завышает | фантомный щит $23.9 тыс; IT Park 0% вместо 1% |</t>
  </si>
  <si>
    <t>| 5 | Кредиторка на зарплату | ОШИБКА | завышает | +$24 тыс NPV, −19% к потребности в капитале |</t>
  </si>
  <si>
    <t>| 6 | Насыщение / пул | КОРРЕКТНО (pool ≤ tam доказано) | — | утечка пула намеренная, ±16% |</t>
  </si>
  <si>
    <t>| 7 | Двойной штраф CAC | НЕТОЧНОСТЬ | занижает | оба штрафа стоят −$153 тыс (−26.9%) |</t>
  </si>
  <si>
    <t>| 8 | Индексация rev_hist | КОРРЕКТНО, ошибки на единицу НЕТ | — | но сам механизм — главный двигатель (61%) |</t>
  </si>
  <si>
    <t>| 9 | Общий фактор + clip | почти КОРРЕКТНО | слегка занижает | сдвиг оттока +2.4%, CAC +0.8% |</t>
  </si>
  <si>
    <t>| 10 | Треугольные распределения | ОШИБКА метода | занижает хвост | P(чек&gt;верх)=0 вместо ~10% |</t>
  </si>
  <si>
    <t>| 11 | 20 000 прогонов | НЕТОЧНОСТЬ | шум ±1.6% | для ±1% нужно 53 000 |</t>
  </si>
  <si>
    <t>| 12 | Ставка 19.7% на USD-поток | ГРУБАЯ ОШИБКА | занижает | +49% при валютном паритете |</t>
  </si>
  <si>
    <t>| 13 | Терминал = EBITDA×мульт + касса | НЕТОЧНОСТЬ (двойного счёта кассы НЕТ) | занижает | ЧОК $69 тыс выброшен; терминал = 55% ответа |</t>
  </si>
  <si>
    <t>| 14 | Опцион «право закрыться» | ОШИБКА метода | в среднем занижает (−3.4%) | но левый хвост срезан: min NPV = −$105 тыс |</t>
  </si>
  <si>
    <t>| 15 | Линейная свёртка GE | НЕТОЧНОСТЬ | маскирует | ранги почти не меняются, но прячет A2/A7 |</t>
  </si>
  <si>
    <t>| 16 | «Три независимых прохода» | ОШИБКА метода / самообман | — | P2&lt;P1 в 100.0% из 238 ячеек, ранги совпадают |</t>
  </si>
  <si>
    <t>| 17 | Границы клеток 4.33/6.67 | НЕТОЧНОСТЬ | — | выведены из [0,10], а шкала [1,10]; 2 смены из 20 |</t>
  </si>
  <si>
    <t>| + | Инфляция затрат отсутствует | ГРУБАЯ ОШИБКА | завышает | −25% при 10%/год |</t>
  </si>
  <si>
    <t>| + | Капиталоёмкие идеи убиты механикой | ОШИБКА | занижает | PRO-22: 0% выживания = артефакт |</t>
  </si>
  <si>
    <t>| + | ramp_months объявлен, но не используется | ОШИБКА (мёртвый код) | завышает | заявленная в docstring рампа не реализована |</t>
  </si>
  <si>
    <t># A. МЕХАНИКА ДЕНЕГ И НАЛОГОВ</t>
  </si>
  <si>
    <t>## 1. НДС — ОШИБКА. Завышает NPV на ~20%.</t>
  </si>
  <si>
    <t>Код (стр. 224-226, 230, 236-242): при vat_passthrough_b2b: true НДС обнуляется</t>
  </si>
  <si>
    <t>целиком: vat_pay = np.zeros(n). В обоих конфигах стоит true.</t>
  </si>
  <si>
    <t>Что не так. Логика «B2B, клиент зачтёт» верна ТОЛЬКО если клиент — плательщик НДС</t>
  </si>
  <si>
    <t>с правом на вычет. Здесь она применена к FIN-01+ — исламским финансовым институтам:</t>
  </si>
  <si>
    <t>банкам, лизингу, МФО, такафулу. Финансовые услуги в РУз освобождены от НДС.</t>
  </si>
  <si>
    <t>Освобождённый клиент не может зачесть входящий НДС — для него твои 12% это чистое</t>
  </si>
  <si>
    <t>удорожание. Это хрестоматийный случай, когда ветка true неприменима, и модель выбрала</t>
  </si>
  <si>
    <t>именно её. То же для PRO-22: часть промышленных клиентов — на упрощёнке без НДС.</t>
  </si>
  <si>
    <t>Измерено (прогон с vat_passthrough_b2b: false):</t>
  </si>
  <si>
    <t>| | E_NPV | медиана | Δ |</t>
  </si>
  <si>
    <t>| НДС обнулён (как есть) | $569 643 | $408 474 | — |</t>
  </si>
  <si>
    <t>| НДС реальный | $457 665 | $306 735 | −$111 978 (−19.7%) |</t>
  </si>
  <si>
    <t>Дополнительно не учтено:</t>
  </si>
  <si>
    <t>- Порога регистрации по НДС нет вовсе. В РУз это 1 млрд сум. В модели НДС привязан</t>
  </si>
  <si>
    <t>к налоговому режиму бинарно, отдельного порога нет.</t>
  </si>
  <si>
    <t>- Обрыв на пороге не моделируется. Пересекая порог, фирма с клиентами-неплательщиками</t>
  </si>
  <si>
    <t>теряет ~10.7% валовой выручки мгновенно. В модели на переходе не меняется ни цена, ни спрос.</t>
  </si>
  <si>
    <t>- Кассовый разрыв по НДС. НДС платится по отгрузке ежемесячно, а DSO = 30-80 дней.</t>
  </si>
  <si>
    <t>Фирма кредитует бюджет 1-2 месяца. В d_wc этого нет.</t>
  </si>
  <si>
    <t>- Латентный баг (стр. 240-241). В ветке general:</t>
  </si>
  <si>
    <t>vat_credit = np.maximum(0.0, vat_credit - np.maximum(0.0, vat_due))</t>
  </si>
  <si>
    <t>vat_pay = np.maximum(0.0, vat_due) # &lt;- кредит НЕ вычтен из платежа</t>
  </si>
  <si>
    <t>Накопленный входящий НДС списывается, но платёж не уменьшает. Кредит сгорает</t>
  </si>
  <si>
    <t>впустую. Сейчас не срабатывает (ветка выключена), но включится при false.</t>
  </si>
  <si>
    <t>В ветке turnover переноса кредита нет вообще — асимметрия.</t>
  </si>
  <si>
    <t>Вывод: самый крупный по деньгам дефект налогового блока. Для финансового клиента</t>
  </si>
  <si>
    <t>ветка выбрана неверно.</t>
  </si>
  <si>
    <t>## 2. Порог оборотного налога в долларах — НЕТОЧНОСТЬ. Мала по деньгам, неверна по структуре.</t>
  </si>
  <si>
    <t>Код (стр. 89, 218-219): turn_cap = 80000 USD/год; тест revenue  12 &lt;= turn_cap.</t>
  </si>
  <si>
    <t>Три дефекта:</t>
  </si>
  <si>
    <t>1. Порог в сумах, а не в долларах. В НК РУз это 1 млрд сум. При укреплении сума</t>
  </si>
  <si>
    <t>порог в долларовом выражении РАСТЁТ, при девальвации — падает. В модели он приколочен.</t>
  </si>
  <si>
    <t>В сценарии devaluation (−8%/год) к 5-му году реальный порог — ~$54 тыс, а модель</t>
  </si>
  <si>
    <t>держит $80 тыс: фирма сидит на 4% дольше, чем имеет право → NPV завышен.</t>
  </si>
  <si>
    <t>В сценарии укрепления — наоборот.</t>
  </si>
  <si>
    <t>2. База теста неверна. Тест на месячную выручку ×12 («разбег»). В НК — по</t>
  </si>
  <si>
    <t>накопленной выручке календарного года, и переход необратим до конца года.</t>
  </si>
  <si>
    <t>Измерено: среднее число перескоков режима за прогон = 0.89, медиана 1,</t>
  </si>
  <si>
    <t>максимум 3; ≥2 перескоков в 0.2% прогонов. То есть болтанка по факту редка</t>
  </si>
  <si>
    <t>(выручка быстро уходит далеко за порог), но механизм неверен, а на идее с более</t>
  </si>
  <si>
    <t>низким и колеблющимся оборотом он даст ложные метания.</t>
  </si>
  <si>
    <t>3. Инфляции нет. Порог в сумах номинально заморожен, а сумовая выручка растёт</t>
  </si>
  <si>
    <t>с инфляцией → в жизни порог пересекается раньше, чем в модели.</t>
  </si>
  <si>
    <t>Измерено:</t>
  </si>
  <si>
    <t>| | E_NPV | Δ |</t>
  </si>
  <si>
    <t>| порог $80k (как есть) | $569 643 | — |</t>
  </si>
  <si>
    <t>| порог $60k (девальвация) | $569 985 | +$342 (+0.1%) |</t>
  </si>
  <si>
    <t>| порог $100k (укрепление) | $569 236 | −$407 (−0.1%) |</t>
  </si>
  <si>
    <t>| общий режим с 1-го месяца | $570 430 | +$787 (+0.1%) |</t>
  </si>
  <si>
    <t>| 4% с оборота ВСЕГДА | $592 408 | +$22 765 (+4.0%) |</t>
  </si>
  <si>
    <t>Интерпретация: место порога почти не влияет — выручка проскакивает его за 2-3 месяца</t>
  </si>
  <si>
    <t>(порог $6 667/мес при чеке $4 500). Влияет сам ВЫБОР режима (4%). То есть модель</t>
  </si>
  <si>
    <t>чувствительна к режиму, но нечувствительна к тому, где стоит порог — значит ошибка</t>
  </si>
  <si>
    <t>в валюте порога стоит в этом конкретном конфиге около нуля. Но на любой идее</t>
  </si>
  <si>
    <t>с оборотом в районе $60-120 тыс/год она станет определяющей.</t>
  </si>
  <si>
    <t>## 3. Перенос убытков — арифметика КОРРЕКТНА, налоговая база — НЕТОЧНОСТЬ.</t>
  </si>
  <si>
    <t>Код (стр. 233-234):</t>
  </si>
  <si>
    <t>taxable = np.maximum(0.0, ebt - nol)</t>
  </si>
  <si>
    <t>nol = np.maximum(0.0, nol - np.maximum(0.0, ebt)) + np.maximum(0.0, -ebt)</t>
  </si>
  <si>
    <t>Ручная проверка (прогнана):</t>
  </si>
  <si>
    <t>| nol вход | EBT | налог. база | nol выход | верно? |</t>
  </si>
  <si>
    <t>|---|---|---|---|---|</t>
  </si>
  <si>
    <t>| 0 | −40 | 0 | 40 | да |</t>
  </si>
  <si>
    <t>| 40 | −30 | 0 | 70 | да |</t>
  </si>
  <si>
    <t>| 70 | +25 | 0 | 45 | да |</t>
  </si>
  <si>
    <t>| 45 | +100 | 55 | 0 | да |</t>
  </si>
  <si>
    <t>| 0 | +50 | 50 | 0 | да |</t>
  </si>
  <si>
    <t>Арифметика безупречна, включая частичное поглощение. Помесячный зачёт при</t>
  </si>
  <si>
    <t>бессрочном переносе эквивалентен годовому — это тоже корректно.</t>
  </si>
  <si>
    <t>Но база и правила неверны:</t>
  </si>
  <si>
    <t>- База = EBITDA, а не налогооблагаемая прибыль. В модели ebt = ebitda.</t>
  </si>
  <si>
    <t>Амортизации нет вовсе. capex_spent (стр. 159) уходит из кассы в месяце 0</t>
  </si>
  <si>
    <t>и больше никогда не появляется ни в P&amp;L, ни в налоговой базе. Для PRO-22</t>
  </si>
  <si>
    <t>с capex $80-250 тыс это потеря амортизационного щита в $12-37 тыс налога.</t>
  </si>
  <si>
    <t>→ занижает NPV капиталоёмких идей.</t>
  </si>
  <si>
    <t>- Зачёт мгновенный и 100%-й, без срока 10 лет и без ограничений НК → завышает NPV</t>
  </si>
  <si>
    <t>убыточных на старте идей.</t>
  </si>
  <si>
    <t>- Перетекание между режимами. В ветке turnover (стр. 221-222) nol обновляется</t>
  </si>
  <si>
    <t>безусловно, даже в месяцы, когда платится 4% с оборота. Два следствия:</t>
  </si>
  <si>
    <t>(а) прибыль в «упрощённые» месяцы сжигает накопленный убыток без всякого щита →</t>
  </si>
  <si>
    <t>занижает NPV; (б) убытки, понесённые на упрощёнке, переносятся в общий режим,</t>
  </si>
  <si>
    <t>чего НК не допускает → завышает. Эффекты частично гасятся.</t>
  </si>
  <si>
    <t>## 4. Соцналог 12% — ОШИБКА в двух местах.</t>
  </si>
  <si>
    <t>Код (стр. 209-211):</t>
  </si>
  <si>
    <t>payroll = (fte_del + fte_sal)  fte_cost  fx_eff_cost</t>
  </si>
  <si>
    <t>social = payroll  (0.0 if regime == "itpark" else social_tax)</t>
  </si>
  <si>
    <t>opex = fixed_opfx_eff_cost + payroll + social + mkt_budget + founder_salary_month</t>
  </si>
  <si>
    <t>Что корректно: соцналог начисляется на ФОТ сотрудников и одинаков в режимах</t>
  </si>
  <si>
    <t>turnover и general — это верно. Вес его большой:</t>
  </si>
  <si>
    <t>| | E_NPV | выживание | Δ |</t>
  </si>
  <si>
    <t>| соцналог 12% | $569 643 | 72.2% | — |</t>
  </si>
  <si>
    <t>| соцналог 0% | $608 070 | 76.6% | +$38 427 (+6.7%) |</t>
  </si>
  <si>
    <t>Ошибка №1 — фантомный налоговый щит на альтернативную зарплату основателя.</t>
  </si>
  <si>
    <t>founder_salary_month (в сценарии opportunity_cost = $4 000/мес) добавлен</t>
  </si>
  <si>
    <t>внутрь opex, то есть уменьшает EBITDA → уменьшает налоговую базу → создаёт</t>
  </si>
  <si>
    <t>налоговую экономию на неденежной упущенной выгоде. Государство не субсидирует</t>
  </si>
  <si>
    <t>альтернативные издержки.</t>
  </si>
  <si>
    <t>Измерено (разность разностей, чтобы выделить именно щит):</t>
  </si>
  <si>
    <t>| | E_NPV при salary=0 | при salary=4000 | цена альт. зарплаты |</t>
  </si>
  <si>
    <t>| с налогом на прибыль | $569 643 | $341 067 | $228 575 |</t>
  </si>
  <si>
    <t>| без налога (itpark) | $680 654 | $428 156 | $252 499 |</t>
  </si>
  <si>
    <t>Фантомный щит = $23 923. Модель делает альтернативную зарплату основателя</t>
  </si>
  <si>
    <t>на 9% дешевле, чем она есть. → завышает NPV в сценарии opportunity_cost.</t>
  </si>
  <si>
    <t>Ошибка №2 — соцналог на зарплату основателя не начисляется. founder_salary_month</t>
  </si>
  <si>
    <t>не входит в payroll, поэтому 12% соцналога на него не идут. Если трактовать</t>
  </si>
  <si>
    <t>$4 000 как реальную альтернативу (он бы получал их как наёмный CFO), то работодатель</t>
  </si>
  <si>
    <t>платил бы ещё 12% сверху. Непоследовательно: величина одновременно и расход (щит есть),</t>
  </si>
  <si>
    <t>и не-зарплата (соцналога нет) — выбраны обе выгодные трактовки.</t>
  </si>
  <si>
    <t>Ошибка №3 — режим IT Park смоделирован слишком щедро. regime == "itpark"</t>
  </si>
  <si>
    <t>даёт social = 0 и tax = 0. Резиденты IT Park в РУз освобождены от налога на</t>
  </si>
  <si>
    <t>прибыль и оборота, но социальный платёж не обнулён (льготная ставка, а не ноль),</t>
  </si>
  <si>
    <t>и НДФЛ с работников удерживается. Ветка сейчас в конфигах не используется, но если</t>
  </si>
  <si>
    <t>её включат — она даст ложную выгоду.</t>
  </si>
  <si>
    <t># B. ОБОРОТНЫЙ КАПИТАЛ</t>
  </si>
  <si>
    <t>## 5. Кредиторка на зарплату — ОШИБКА. Завышает NPV и занижает потребность в капитале.</t>
  </si>
  <si>
    <t>Код (стр. 245-248):</t>
  </si>
  <si>
    <t>ar_new = revenue  (1 - prepay)  dso / 30.0</t>
  </si>
  <si>
    <t>ap_new = (cogs + opex)  dpo / 30.0</t>
  </si>
  <si>
    <t>opex = fixed_opex + payroll + social + mkt_budget + founder_salary. При dpo = 30</t>
  </si>
  <si>
    <t>модель даёт фирме месячную беспроцентную отсрочку на ВЕСЬ базис затрат, включая</t>
  </si>
  <si>
    <t>фонд оплаты труда, соцналог и аренду. Зарплату не отсрочивают. Соцналог тем более</t>
  </si>
  <si>
    <t>(пеня). Аренду — обычно предоплата. Реально отсрочивается только часть COGS</t>
  </si>
  <si>
    <t>(субподряд, командировки) и мелкие услуги.</t>
  </si>
  <si>
    <t>| | E_NPV | Δ NPV | E[пиковый капитал] | Δ капитала |</t>
  </si>
  <si>
    <t>| DPO=30 на всё (как есть) | $569 643 | — | $51 347 | — |</t>
  </si>
  <si>
    <t>| DPO=15 (половина базы) | $557 604 | −$12 038 (−2.1%) | $55 993 | +$4 646 (+9.0%) |</t>
  </si>
  <si>
    <t>| DPO=10 (≈ только COGS) | $553 589 | −$16 054 (−2.8%) | $57 609 | +$6 262 (+12.2%) |</t>
  </si>
  <si>
    <t>| DPO=0 (кредиторки нет) | $545 560 | −$24 083 (−4.2%) | $60 956 | +$9 609 (+18.7%) |</t>
  </si>
  <si>
    <t>Ответ на вопрос «насколько завышает кредиторку»: структура затрат FIN-01+ — примерно</t>
  </si>
  <si>
    <t>2/3 opex это ФОТ+соцналог+аренда. Значит около 2/3 начисляемой кредиторки фиктивны.</t>
  </si>
  <si>
    <t>Средняя кредиторка на конец жизни = $33 951 (у выживших $43 611), из них</t>
  </si>
  <si>
    <t>~$25-29 тыс — не отсрочиваемые статьи.</t>
  </si>
  <si>
    <t>Эффект в двух измерениях:</t>
  </si>
  <si>
    <t>1. NPV завышен на $16-24 тыс (2.8-4.2%) — это «бесплатное финансирование».</t>
  </si>
  <si>
    <t>2. Потребность в капитале занижена на 12-19% — а это ключевая цифра решения,</t>
  </si>
  <si>
    <t>потому что лимит основателя $150 тыс. Модель говорит «нужно $51 тыс», честнее —</t>
  </si>
  <si>
    <t>$58-61 тыс. При DSO 30-80 дней и мгновенной зарплате разрыв больше.</t>
  </si>
  <si>
    <t>Отдельно — ЧОК никогда не разматывается. Ни при смерти, ни в терминале</t>
  </si>
  <si>
    <t>(см. п. 13-14). Это отдельная ошибка в обе стороны.</t>
  </si>
  <si>
    <t># C. ВОРОНКА И РЫНОК</t>
  </si>
  <si>
    <t>## 6. Насыщение рынка — КОРРЕКТНО. Двойного счёта нет, pool превысить tam не может.</t>
  </si>
  <si>
    <t>Код (стр. 202-204):</t>
  </si>
  <si>
    <t>clients = clients + new_cli - lost</t>
  </si>
  <si>
    <t>pool = pool - new_cli + lost  winback</t>
  </si>
  <si>
    <t>pool = np.maximum(pool, 0.0)</t>
  </si>
  <si>
    <t>Доказательство: d(clients + pool) = new_cli − lost − new_cli + lost·winback</t>
  </si>
  <si>
    <t>Значит pool ≤ tam − clients ≤ tam всегда. Утечки в плюс нет,</t>
  </si>
  <si>
    <t>двойного счёта нового клиента нет (он вычитается из пула ровно один раз).</t>
  </si>
  <si>
    <t>Утечка вниз намеренная и осмысленная: доля (1 − winback) ушедших выгорает навсегда.</t>
  </si>
  <si>
    <t>Для FIN-01+ winback = 0.5, для PRO-22 — 0.9 (проектный бизнес, клиент возвращается).</t>
  </si>
  <si>
    <t>| winback = 0.5 (как есть) | $569 643 | — |</t>
  </si>
  <si>
    <t>| winback = 0.0 (выгорают все) | $484 452 | −$85 191 (−15.0%) |</t>
  </si>
  <si>
    <t>| winback = 1.0 (пул не течёт) | $665 039 | +$95 396 (+16.7%) |</t>
  </si>
  <si>
    <t>Одно замечание (не ошибка, а побочный эффект): pen = 1 − pool/tam считает</t>
  </si>
  <si>
    <t>проникновением и текущих клиентов, И навсегда выгоревших бывших. Значит при высоком</t>
  </si>
  <si>
    <t>оттоке CAC растёт даже без роста доли рынка. Логика защитима («рынок выжжен»), но её</t>
  </si>
  <si>
    <t>надо знать: у идеи с оттоком 25%/мес (PRO-22) это даёт быстро растущий CAC</t>
  </si>
  <si>
    <t>безотносительно успеха.</t>
  </si>
  <si>
    <t>## 7. Двойной штраф CAC — НЕТОЧНОСТЬ. Не двойной счёт по природе, но по калибровке — да. Занижает NPV.</t>
  </si>
  <si>
    <t>Код (стр. 183):</t>
  </si>
  <si>
    <t>cac = cac0  (1 + cac_growth)yrs  (1 + cac_pen_k  pen)  fx_eff_cost</t>
  </si>
  <si>
    <t>Для FIN-01+: cac_growth = 0.12, cac_pen_k = 1.5.</t>
  </si>
  <si>
    <t>Концептуально это НЕ двойной счёт: секулярное удорожание каналов (конкуренция</t>
  </si>
  <si>
    <t>за внимание, инфляция рекламы) и насыщение (остались трудные клиенты) — разные причины.</t>
  </si>
  <si>
    <t>Так делать можно.</t>
  </si>
  <si>
    <t>Но по калибровке штраф кумулятивный и очень тяжёлый:</t>
  </si>
  <si>
    <t>на 5-м году: 1.12^5 = 1.76 × (1 + 1.5·pen) до 2.5 = до ×4.4 к стартовому CAC.</t>
  </si>
  <si>
    <t>Причём cac0 уже разыгран по сегодняшнему рынку, где конкурент уже присутствует</t>
  </si>
  <si>
    <t>в 75% прогонов.</t>
  </si>
  <si>
    <t>| оба штрафа (как есть) | $569 643 | 72.2% | — |</t>
  </si>
  <si>
    <t>| без штрафа проникновения | $675 040 | 77.2% | +$105 397 (+18.5%) |</t>
  </si>
  <si>
    <t>| без штрафа времени | $654 871 | 76.1% | +$85 228 (+15.0%) |</t>
  </si>
  <si>
    <t>| без обоих | $723 016 | 80.6% | +$153 374 (+26.9%) |</t>
  </si>
  <si>
    <t>Это самый тяжёлый тормоз во всей воронке — 27% E_NPV. И он держится на двух</t>
  </si>
  <si>
    <t>коэффициентах, у которых нет источника. Формально «не двойной счёт», фактически —</t>
  </si>
  <si>
    <t>двойное торможение одной и той же силы с двух сторон.</t>
  </si>
  <si>
    <t>## 8. Индексация rev_hist — КОРРЕКТНО. Ошибки на единицу НЕТ. Но механизм оказался главным двигателем модели.</t>
  </si>
  <si>
    <t>Код (стр. 186, 314):</t>
  </si>
  <si>
    <t>mkt_budget = np.maximum(mkt_floor, mkt_share  (rev_hist[(t - 1) % 12] if t &gt; 1 else 0.0))</t>
  </si>
  <si>
    <t>...</t>
  </si>
  <si>
    <t>rev_hist[t % 12] = np.where(a, revenue, 0.0) # в КОНЦЕ месяца t</t>
  </si>
  <si>
    <t>Проверка индексации (прогнана поимённо):</t>
  </si>
  <si>
    <t>| месяц t | читает | последняя запись в этот слот | это месяц |</t>
  </si>
  <si>
    <t>| 2 | rev_hist[1] | конец t=1 → слот 1 | t−1 ✓ |</t>
  </si>
  <si>
    <t>| 13 | rev_hist[0] | конец t=12 → слот 0 | t−1 ✓ |</t>
  </si>
  <si>
    <t>| 25 | rev_hist[0] | конец t=24 → слот 0 | t−1 ✓ |</t>
  </si>
  <si>
    <t>| 60 | rev_hist[11] | конец t=59 → слот 11 | t−1 ✓ |</t>
  </si>
  <si>
    <t>Чтение всегда попадает в выручку прошлого месяца. Годичной давности не берётся</t>
  </si>
  <si>
    <t>никогда. Запись идёт после чтения в теле цикла — коллизии нет.</t>
  </si>
  <si>
    <t>Подозрение не подтвердилось. То же для TTM: на месяце t буфер содержит</t>
  </si>
  <si>
    <t>месяцы t−12 … t−1, ровно 12 штук; в терминале (после t=60) — месяцы 49…60.</t>
  </si>
  <si>
    <t>НО проверка вскрыла куда более серьёзную вещь. Я инструментировал движок</t>
  </si>
  <si>
    <t>и посчитал, какое из четырёх ограничений реально связывает воронку</t>
  </si>
  <si>
    <t>(new_cli = min(cap_capacity, cap_budget, cap_market, cap_deliver)), по всем</t>
  </si>
  <si>
    <t>живым месяц-прогонам:</t>
  </si>
  <si>
    <t>| ограничение | доля месяцев, когда оно связывает |</t>
  </si>
  <si>
    <t>|---|---|</t>
  </si>
  <si>
    <t>| cap_budget (маркетинг ÷ CAC) | 61.06% |</t>
  </si>
  <si>
    <t>| cap_market (5-10% свободного пула) | 36.35% |</t>
  </si>
  <si>
    <t>| cap_capacity (продавцы × встречи × win-rate) | 2.59% |</t>
  </si>
  <si>
    <t>| cap_deliver (мощность исполнения) | 0.00% |</t>
  </si>
  <si>
    <t>Выводы, каждый из которых тяжелее исходного подозрения:</t>
  </si>
  <si>
    <t>1. Рост бизнеса на 61% определяется правилом «бюджет = 5% прошлой выручки,</t>
  </si>
  <si>
    <t>не меньше $500, делённый на CAC». Это самая произвольная строка в модели,</t>
  </si>
  <si>
    <t>и она оказалась главным двигателем. Ранняя траектория задана буквально</t>
  </si>
  <si>
    <t>константой mkt_budget_floor = 500.</t>
  </si>
  <si>
    <t>2. Это самоподдерживающаяся петля: выручка → бюджет → клиенты → выручка.</t>
  </si>
  <si>
    <t>Темп роста ≈ mkt_share × ARPU / CAC — то есть модель фактически моделирует</t>
  </si>
  <si>
    <t>не спрос, а маркетинговый реинвест. Реального ограничения спроса в ней мало.</t>
  </si>
  <si>
    <t>3. cap_deliver не связывает НИКОГДА (0.00%). Значит вся заявленная</t>
  </si>
  <si>
    <t>в docstring «ОГРАНИЧЕННАЯ СКОРОСТЬ НАЙМА» мертва: max_hires_per_month,</t>
  </si>
  <si>
    <t>clients_per_fte, max_fte ни на что не влияют. Причина в стр. 256:</t>
  </si>
  <si>
    <t>want = np.clip(need_del + 1.0 - fte_del, 0.0, max_hire) — модель всегда</t>
  </si>
  <si>
    <t>нанимает на одного человека БОЛЬШЕ, чем нужно, поэтому мощность бежит</t>
  </si>
  <si>
    <t>впереди спроса. Для консалтинга, где узкое место — время партнёра, это</t>
  </si>
  <si>
    <t>перевёрнутая картина мира.</t>
  </si>
  <si>
    <t>4. ramp_months объявлен на стр. 70 и НИ РАЗУ не используется. Обещанная</t>
  </si>
  <si>
    <t>в docstring «рампа новичка» отсутствует в коде. Новый сотрудник производителен</t>
  </si>
  <si>
    <t>со дня найма → завышает NPV.</t>
  </si>
  <si>
    <t># D. РАСПРЕДЕЛЕНИЯ И РИСК</t>
  </si>
  <si>
    <t>## 9. Общий фактор и обрезка — почти КОРРЕКТНО. Обрезка матожидание не ломает. Но деление — ломает, слегка.</t>
  </si>
  <si>
    <t>Код (стр. 46-62): z ~ N(0,1) один раз на прогон, rho = 0.15.</t>
  </si>
  <si>
    <t>- умножение: tam  clip(1 + rho·z, 0.35, 2.2), arpu0  clip(1 + 0.8ρz, 0.4, 2.0)</t>
  </si>
  <si>
    <t>- деление: cac0 / clip(1 + 0.6ρz, 0.4, 2.0), churn0 / clip(1 + ρz, 0.4, 2.0)</t>
  </si>
  <si>
    <t>Измерено на 2 млн розыгрышей:</t>
  </si>
  <si>
    <t>| множитель | E[·] | сдвиг | доля обрезанных |</t>
  </si>
  <si>
    <t>| TAM: clip(1+0.15z) | 1.000114 | +0.011% | 0.0005% |</t>
  </si>
  <si>
    <t>| ARPU: clip(1+0.12z) | 1.000091 | +0.009% | ~0 |</t>
  </si>
  <si>
    <t>| CAC: 1/clip(1+0.09z) | 1.008220 | +0.82% | ~0 |</t>
  </si>
  <si>
    <t>| Отток: 1/clip(1+0.15z) | 1.024054 | +2.41% | ~0 |</t>
  </si>
  <si>
    <t>Вердикт по частям:</t>
  </si>
  <si>
    <t>- Обрезка (clip) — не проблема. Границы 0.35 и 2.2 при ρ=0.15 соответствуют</t>
  </si>
  <si>
    <t>z = −4.3 и z = +8. Срабатывает в 0.0005% случаев. Матожидание не искажено,</t>
  </si>
  <si>
    <t>сдвиг +0.01% — шум. Обрезка тут декоративная.</t>
  </si>
  <si>
    <t>- Деление — проблема. По неравенству Йенсена E[1/(1+σz)] &gt; 1. Отток</t>
  </si>
  <si>
    <t>систематически на 2.4% выше, CAC на 0.8% выше, чем заданное в конфиге.</t>
  </si>
  <si>
    <t>Направление — занижает NPV, но величина мала. Правильный приём: делать</t>
  </si>
  <si>
    <t>общий фактор логнормальным, exp(ρz − ρ²/2), тогда E = 1 точно и для умножения,</t>
  </si>
  <si>
    <t>и для деления.</t>
  </si>
  <si>
    <t>- Главная претензия — не к матожиданию, а к заявке в docstring:</t>
  </si>
  <si>
    <t>«общий фактор качества рынка → положительная корреляция параметров (жирные хвосты)».</t>
  </si>
  <si>
    <t>Измеренная корреляция в модели: corr(TAM, ARPU) = 0.284, corr(TAM, CAC) = −0.178.</t>
  </si>
  <si>
    <t>Слабая. Причина: маргинальные треугольные розыгрыши независимы и «разбавляют»</t>
  </si>
  <si>
    <t>общий фактор, а ρ=0.15 сама по себе мала. Жирных хвостов один общий фактор</t>
  </si>
  <si>
    <t>с ρ=0.15 не создаёт вообще. Заявленный эффект отсутствует.</t>
  </si>
  <si>
    <t>- Кроме того, корреляция здесь комонотонная и детерминированная (все четыре</t>
  </si>
  <si>
    <t>параметра — точные функции одного z), а не стохастическая зависимость. Реальные</t>
  </si>
  <si>
    <t>рынки так не устроены.</t>
  </si>
  <si>
    <t>## 10. Треугольные распределения — ОШИБКА МЕТОДА для чека и размера рынка. Занижает правый хвост.</t>
  </si>
  <si>
    <t>Код (стр. 22-29): rng.triangular(l, m, h, n) для TAM, чека, CAC, оттока,</t>
  </si>
  <si>
    <t>мультипликатора — для всего.</t>
  </si>
  <si>
    <t>Измерено на ARPU [2500, 4500, 8000] (500 тыс розыгрышей):</t>
  </si>
  <si>
    <t>| | E | p50 | p95 | p99 | p99.9 | максимум |</t>
  </si>
  <si>
    <t>|---|---|---|---|---|---|---|</t>
  </si>
  <si>
    <t>| треугольное | $4 998 | $4 896 | $7 018 | $7 562 | — | $7 989 (жёсткий потолок) |</t>
  </si>
  <si>
    <t>| логнормальное (та же мода, σ=0.45) | $4 981 | $4 502 | $9 440 | $12 840 | $18 020 | не ограничено |</t>
  </si>
  <si>
    <t>P(чек &gt; $8 000): треугольное = 0.00%, логнормальное = 10.0%.</t>
  </si>
  <si>
    <t>Что теряется:</t>
  </si>
  <si>
    <t>1. Якорный клиент структурно невозможен. Ни в одном из 20 000 прогонов ни один</t>
  </si>
  <si>
    <t>клиент не платит больше $8 000/мес. В консалтинге распределение чека — степенное:</t>
  </si>
  <si>
    <t>один Центробанк или один крупный банк может стоить как двадцать МФО. Именно</t>
  </si>
  <si>
    <t>такие исходы делают доходность венчурного портфеля, и модель их вырезала полностью.</t>
  </si>
  <si>
    <t>2. Тот же дефект у TAM [12, 20, 32]: рынок НИКОГДА не окажется на 60 институтов,</t>
  </si>
  <si>
    <t>хотя вся идея построена на регуляторном окне 2027 года, которое может открыть</t>
  </si>
  <si>
    <t>рынок шире ожидаемого.</t>
  </si>
  <si>
    <t>3. Тот же дефект у мультипликатора [1.5, 3.0, 5.0]: стратегический покупатель,</t>
  </si>
  <si>
    <t>платящий 8× за вход на рынок, не существует. А это 48% ответа (п. 13).</t>
  </si>
  <si>
    <t>4. Медиана смещена вверх, хвост срезан. E = (l+m+h)/3 = 5 000 при моде 4 500 —</t>
  </si>
  <si>
    <t>среднее подтянуто вверх, а распределение при этом более узкое, чем реальность.</t>
  </si>
  <si>
    <t>Худшее из двух: центр оптимистичен, хвост пессимистичен.</t>
  </si>
  <si>
    <t>5. Побочно — недооценка дисперсии NPV. Ограниченный носитель у всех входов</t>
  </si>
  <si>
    <t>означает, что истинный разброс NPV шире показанного, а значит доверительные</t>
  </si>
  <si>
    <t>интервалы в отчёте узкие не по праву.</t>
  </si>
  <si>
    <t>Правильно: логнормаль для чека, TAM и мультипликатора (величины положительные</t>
  </si>
  <si>
    <t>и правоскошенные); бета — для долей (win-rate, маржа, отток); треугольное оставить</t>
  </si>
  <si>
    <t>только там, где границы действительно физические (сроки лицензии, число сотрудников).</t>
  </si>
  <si>
    <t>## 11. 20 000 прогонов — НЕТОЧНОСТЬ. Для рангов достаточно, для цифры E_NPV — нет.</t>
  </si>
  <si>
    <t>Измерено: 10 независимых seed (101, 202, …, 1010), n = 20 000 каждый:</t>
  </si>
  <si>
    <t>| метрика | мин | макс | размах |</t>
  </si>
  <si>
    <t>| E_NPV | $563 394 | $576 502 | $13 108 |</t>
  </si>
  <si>
    <t>| медиана NPV | $398 610 | $413 197 | $14 587 |</t>
  </si>
  <si>
    <t>| P(выжить 60 мес) | 71.345% | 72.330% | 0.99 п.п. |</t>
  </si>
  <si>
    <t>Стандартная ошибка:</t>
  </si>
  <si>
    <t>- ст.откл NPV внутри прогона ≈ $671 692 (огромная — при среднем $570 тыс)</t>
  </si>
  <si>
    <t>- теоретическая SE среднего = 671 692 / √20 000 = $4 750</t>
  </si>
  <si>
    <t>- фактическая ст.откл среднего по 10 seed = $4 368 — совпадает с теорией,</t>
  </si>
  <si>
    <t>генератор и векторизация корректны, скрытой корреляции между прогонами нет</t>
  </si>
  <si>
    <t>- 95% ДИ для E_NPV = ±$9 309, то есть ±1.6%</t>
  </si>
  <si>
    <t>- для точности ±1% нужно n = 53 136; для ±0.5% — n ≈ 212 000</t>
  </si>
  <si>
    <t>Вердикт по устойчивости:</t>
  </si>
  <si>
    <t>- Ранжирование идей устойчиво. Разрывы между идеями ($570 тыс / $48 тыс / −$129 тыс)</t>
  </si>
  <si>
    <t>на порядки больше шума ±$9 тыс. Вывод «FIN-01+ ≫ FIN-19 ≫ PRO-22» — не артефакт seed.</t>
  </si>
  <si>
    <t>- Сама цифра E_NPV — нет. Писать «ожидаемый NPV $569 643» с шестью значащими</t>
  </si>
  <si>
    <t>цифрами при ДИ ±$9 тыс — ложная точность. Честно: «$0.57 млн ± 0.01 млн (только</t>
  </si>
  <si>
    <t>выборочный шум)».</t>
  </si>
  <si>
    <t>- Главное: ±1.6% выборочного шума ничтожны на фоне структурных искажений</t>
  </si>
  <si>
    <t>из п. 1 (−20%), п. 12 (+49%) и отсутствия инфляции затрат (−25%). Увеличивать</t>
  </si>
  <si>
    <t>n бессмысленно, пока не исправлена механика. Это классическая ошибка приоритетов:</t>
  </si>
  <si>
    <t>точность там, где нет правильности.</t>
  </si>
  <si>
    <t>- Отдельно: run_sim.py даёт каждому сценарию свой seed (101/202/303/404/505).</t>
  </si>
  <si>
    <t>Поэтому сравнение сценариев между собой несёт лишний независимый шум ±$9 тыс</t>
  </si>
  <si>
    <t>на каждую пару. Для сравнения сценариев нужен ОДИН seed — это common random numbers,</t>
  </si>
  <si>
    <t>стандартный приём снижения дисперсии разностей. Сейчас часть различий между</t>
  </si>
  <si>
    <t>base и devaluation — просто разные случайные числа.</t>
  </si>
  <si>
    <t># E. ДИСКОНТИРОВАНИЕ И ТЕРМИНАЛЬНАЯ СТОИМОСТЬ</t>
  </si>
  <si>
    <t>## 12. Ставка 19.7% на долларовые потоки — ГРУБАЯ ОШИБКА. Занижает NPV примерно наполовину.</t>
  </si>
  <si>
    <t>Код: run_sim.py стр. 11: HURDLE = 0.197 # сумовой депозит 19.7%.</t>
  </si>
  <si>
    <t>engine.py стр. 146: disc_m = (1 + 0.197)(1/12).</t>
  </si>
  <si>
    <t>Валюта потоков. Все величины конфига — долларовые (arpu_month 2500-8000,</t>
  </si>
  <si>
    <t>fte_cost_month 900-2600, owner_capital 150000). Сумовая часть переводится</t>
  </si>
  <si>
    <t>множителем fx_eff_rev = usd_rev_sh + (1 − usd_rev_sh)·fx_idx. Итоговый поток — USD.</t>
  </si>
  <si>
    <t>Ошибка. 19.7% — доходность сумового депозита. Долларовая доходность той же</t>
  </si>
  <si>
    <t>альтернативы = (1 + 19.7%) / (1 + ожидаемая девальвация сума) − 1. Дисконтировать</t>
  </si>
  <si>
    <t>долларовый поток сумовой ставкой можно только если сум действительно не двигается.</t>
  </si>
  <si>
    <t>И вот тут вскрывается несогласованность допущений, а не просто арифметика.</t>
  </si>
  <si>
    <t>В конфигах uzs_vs_usd_annual_drift: 0.0 — модель сама постулирует, что сум</t>
  </si>
  <si>
    <t>5 лет стоит на месте. Но тогда сумовой депозит под 19.7% при нулевой девальвации —</t>
  </si>
  <si>
    <t>это 19.7% годовых безрисковых В ДОЛЛАРАХ, то есть арбитраж, которого не бывает.</t>
  </si>
  <si>
    <t>Два допущения модели несовместимы: либо сум падает (и тогда ставка в USD — около 10%),</t>
  </si>
  <si>
    <t>либо не падает (и тогда 19.7% USD безрисковых — тезис, который сам по себе разрушает</t>
  </si>
  <si>
    <t>всю постановку задачи: зачем открывать бизнес, если депозит даёт 19.7% в долларах).</t>
  </si>
  <si>
    <t>| ставка | обоснование | E_NPV | Δ к базе |</t>
  </si>
  <si>
    <t>| 19.7% | как есть (сумовая на USD-поток) | $569 643 | — |</t>
  </si>
  <si>
    <t>| 12.0% | USD-эквивалент при девальвации ~7%/год | $775 347 | +$205 705 (+36.1%) |</t>
  </si>
  <si>
    <t>| 9.8% | (1.197/1.09) − 1, девальвация 9%/год | $849 810 | +$280 167 (+49.2%) |</t>
  </si>
  <si>
    <t>| 6.0% | близко к USD-безрисковой | $999 884 | +$430 241 (+75.5%) |</t>
  </si>
  <si>
    <t>| 30.0% | венчурная норма | $387 045 | −$182 598 (−32.1%) |</t>
  </si>
  <si>
    <t>Направление: НПВ ЗАНИЖЕН, примерно в полтора раза, если исходить из исторической</t>
  </si>
  <si>
    <t>девальвации сума 8-10%/год. Дисконт-фактор на 60-м месяце: 0.407 при 19.7% против</t>
  </si>
  <si>
    <t>0.621 при 9.8% — терминал, дающий 55% ответа, урезан на треть.</t>
  </si>
  <si>
    <t>Вторая, методологически более грубая ошибка в том же месте — двойной счёт риска.</t>
  </si>
  <si>
    <t>Монте-Карло уже моделирует провал запуска, отсутствие спроса, вход конкурента,</t>
  </si>
  <si>
    <t>неплатёжеспособность и закрытие. Риск сидит в самих путях и виден в распределении.</t>
  </si>
  <si>
    <t>Дисконтировать сверх этого по рисковой (а 19.7% — рисковая, не безрисковая</t>
  </si>
  <si>
    <t>в долларах) ставке — значит оштрафовать за риск дважды. Каноническая постановка:</t>
  </si>
  <si>
    <t>моделируешь риск в путях → дисконтируешь около безрисковой; дисконтируешь по</t>
  </si>
  <si>
    <t>рисковой ставке → берёшь ожидаемые (не рисковые) потоки. Модель делает и то, и другое.</t>
  </si>
  <si>
    <t>Третья мелочь: 19.7% — номинальная сумовая ставка при инфляции ~9-10%,</t>
  </si>
  <si>
    <t>то есть реальная ~9%. Потоки модели индексируются по цене на 5%/год, а по затратам —</t>
  </si>
  <si>
    <t>на 0% (см. отдельный раздел). Инфляционная база потока и ставки не согласована ни с чем.</t>
  </si>
  <si>
    <t>## 13. Терминальная стоимость — НЕТОЧНОСТЬ. Двойного счёта кассы НЕТ, но ЧОК выброшен, а вес терминала опасно велик.</t>
  </si>
  <si>
    <t>Код (стр. 298-302, 320-324):</t>
  </si>
  <si>
    <t>buf = cash_buf_m  (opex + cogs) # 3 месяца затрат</t>
  </si>
  <si>
    <t>dist = np.where(a &amp; (cash &gt; buf), cash - buf, 0) # излишек — владельцу, КАЖДЫЙ месяц</t>
  </si>
  <si>
    <t>cash -= dist; pv_flows += dist / disc_mt</t>
  </si>
  <si>
    <t>tv = np.where(alive &amp; (ebitda_ttm &gt; 0), ebitda_ttm  eff_mult, 0) + np.where(alive, cash, 0)</t>
  </si>
  <si>
    <t>Двойного счёта кассы НЕТ — подозрение снимается. Излишек выметается владельцу</t>
  </si>
  <si>
    <t>ежемесячно, поэтому к месяцу 60 в кассе остаётся ровно буфер (cash ≤ buf),</t>
  </si>
  <si>
    <t>и это те деньги, которые ещё НЕ распределялись. Прибавлять их к EV — стандартная</t>
  </si>
  <si>
    <t>процедура (equity = EV + чистая касса). Разложение подтверждает:</t>
  </si>
  <si>
    <t>| компонента E_NPV | $ | % ответа |</t>
  </si>
  <si>
    <t>| PV распределений владельцу за 60 мес | $302 987 | 53% |</t>
  </si>
  <si>
    <t>| PV терминала: EBITDA_ttm × мультипликатор | $274 100 | 48% |</t>
  </si>
  <si>
    <t>| PV терминала: остаток кассы | $38 442 | 7% |</t>
  </si>
  <si>
    <t>| PV ликвидации при закрытии | $2 818 | 0.5% |</t>
  </si>
  <si>
    <t>| − PV довливаний основателя | −$23 598 | — |</t>
  </si>
  <si>
    <t>| итого E_NPV | $569 643 | 100% |</t>
  </si>
  <si>
    <t>Но три настоящих дефекта:</t>
  </si>
  <si>
    <t>1. Чистый оборотный капитал просто выбрасывается. У выживших на месяце 60:</t>
  </si>
  <si>
    <t>дебиторка $112 630, кредиторка $43 611. Дебиторка не инкассируется,</t>
  </si>
  <si>
    <t>не продаётся и не входит ни в tv, ни в поток; кредиторка не гасится.</t>
  </si>
  <si>
    <t>Чистый ЧОК +$69 019 номинала исчезает → терминал ЗАНИЖЕН на ~$69 тыс</t>
  </si>
  <si>
    <t>номинала (~$28 тыс приведённых). Асимметрия: то же самое при смерти работает</t>
  </si>
  <si>
    <t>в обратную сторону — фирма уходит, не заплатив кредиторку (п. 14), там завышение.</t>
  </si>
  <si>
    <t>Ни один из двух случаев не сведён.</t>
  </si>
  <si>
    <t>К тому же касса в терминале ($130 830 у выживших) на 33% состоит из</t>
  </si>
  <si>
    <t>непогашенной кредиторки — покупатель по схеме cash-free/debt-free это вычтет.</t>
  </si>
  <si>
    <t>2. Вероятность найти покупателя не зависит от бизнеса. p_exit = 0.35 —</t>
  </si>
  <si>
    <t>константа, got_exit = rng.random(n) &lt; p_exit разыгрывается независимо от всего.</t>
  </si>
  <si>
    <t>У выживших EBITDA_ttm: p10 = $124 686, медиана $359 705, p90 = $779 403.</t>
  </si>
  <si>
    <t>Бизнес с EBITDA $125 тыс и бизнес с EBITDA $779 тыс имеют одинаковый шанс продаться.</t>
  </si>
  <si>
    <t>В жизни ликвидность растёт с размером резко и нелинейно. Занижает верхний хвост.</t>
  </si>
  <si>
    <t>3. Терминал = 55% всего ответа ($312 541 из $569 643), и держится на</t>
  </si>
  <si>
    <t>одном треугольном розыгрыше мультипликатора [1.5, 3.0, 5.0], применённом</t>
  </si>
  <si>
    <t>к одному году EBITDA, из которого, к тому же, не вычтено вознаграждение</t>
  </si>
  <si>
    <t>управляющего в базовом сценарии. То есть в базе модель продаёт покупателю</t>
  </si>
  <si>
    <t>EBITDA, включающую бесплатный труд основателя, по мультипликатору 3× —</t>
  </si>
  <si>
    <t>труд основателя капитализируется в цену выхода. Это двойной счёт другого рода,</t>
  </si>
  <si>
    <t>и он в базовом сценарии есть, а в opportunity_cost — нет (там зарплата вычтена).</t>
  </si>
  <si>
    <t>Сценарии поэтому не сопоставимы напрямую.</t>
  </si>
  <si>
    <t>4. Мелочь: налога на продажу бизнеса нет.</t>
  </si>
  <si>
    <t>## 14. Реальный опцион «право закрыться» — ОШИБКА МЕТОДА. В среднем ЗАНИЖАЕТ (−3.4%), но левый хвост срезан структурно.</t>
  </si>
  <si>
    <t>Код (стр. 288-296):</t>
  </si>
  <si>
    <t>if t &gt;= ab_month: # только с месяца 18</t>
  </si>
  <si>
    <t>ttm = rev_hist.sum(axis=0) / 12.0</t>
  </si>
  <si>
    <t>quit_ = a &amp; (ttm &lt; ab_minrev) &amp; (ebitda &lt; 0) &amp; (t &gt;= delay + 6)</t>
  </si>
  <si>
    <t>salv = np.maximum(0.0, cash + arab_salvage) + capex_spentcapex_recov</t>
  </si>
  <si>
    <t>Измерено — и здесь подозрение «опцион слишком щедр и завышает NPV» НЕ подтвердилось:</t>
  </si>
  <si>
    <t>| опцион как есть | $569 643 | 72.2% | — |</t>
  </si>
  <si>
    <t>| salvage_share_of_wc = 0 (закрытие не даёт ничего) | $567 989 | 72.2% | −$1 654 (всего −0.3%) |</t>
  </si>
  <si>
    <t>| опцион ВЫКЛЮЧЕН (check_month = 999) | $588 750 | 92.5% | +$19 108 (+3.4%) |</t>
  </si>
  <si>
    <t>| опцион с месяца 12 (раньше) | $514 694 | 55.2% | −$54 949 (−9.6%) |</t>
  </si>
  <si>
    <t>Читается так: щедрость ликвидации почти ничего не стоит (−0.3%). А сам опцион</t>
  </si>
  <si>
    <t>уменьшает E_NPV на 3.4%, потому что срабатывает механически и убивает 20%</t>
  </si>
  <si>
    <t>прогонов, которые выжили бы. Так что «бесплатный опцион, завышающий NPV» — нет.</t>
  </si>
  <si>
    <t>Но настоящих дефектов пять, и они серьёзнее:</t>
  </si>
  <si>
    <t>1. Это не опцион, а календарное правило. Настоящее правило остановки —</t>
  </si>
  <si>
    <t>«выходи, когда ликвидационная стоимость &gt; ожидаемой стоимости продолжения».</t>
  </si>
  <si>
    <t>Здесь: «с месяца 18, если TTM-выручка ниже порога И EBITDA этого конкретного</t>
  </si>
  <si>
    <t>месяца отрицательна». Никакого сравнения с продолжением. Следствия в обе стороны:</t>
  </si>
  <si>
    <t>один случайно прибыльный месяц блокирует выход; безнадёжный, но слегка</t>
  </si>
  <si>
    <t>прибыльный бизнес не закрывается никогда.</t>
  </si>
  <si>
    <t>2. Опцион не срабатывает там, где он нужнее всего. Для PRO-22 (capex $80-250 тыс):</t>
  </si>
  <si>
    <t>фирма гибнет на месяце 2 от неплатёжеспособности, то есть до первой проверки.</t>
  </si>
  <si>
    <t>Прогнано: check_month = 3, 6, 12, 18, 24 → E_NPV одинаков, −$129 299,</t>
  </si>
  <si>
    <t>выживание 0.00%, медиана смерти = месяц 2 во всех вариантах. Опцион не влияет</t>
  </si>
  <si>
    <t>ни на что. Право закрыться бесполезно, если ты уже мёртв к первой проверке.</t>
  </si>
  <si>
    <t>3. Кредиторка при выходе не гасится. salv = max(0, cash + ar·0.8) + capex·0.25.</t>
  </si>
  <si>
    <t>Дебиторка инкассируется на 80%, а кредиторка ($34-44 тыс) списывается в ноль.</t>
  </si>
  <si>
    <t>Фирма уходит, не заплатив поставщикам, зарплату и соцналог. Завышает ликвидацию.</t>
  </si>
  <si>
    <t>Название параметра salvage_share_of_wc («доля оборотного капитала») тоже не</t>
  </si>
  <si>
    <t>соответствует коду: применяется к дебиторке, а не к ЧИСТОМУ оборотному капиталу.</t>
  </si>
  <si>
    <t>4. Издержек закрытия нет вовсе. Выходное пособие, расторжение аренды, списание</t>
  </si>
  <si>
    <t>лицензии, недоделанные проекты — нулевые. Выход бесплатен.</t>
  </si>
  <si>
    <t>5. И вот главное — левый хвост срезан структурно:</t>
  </si>
  <si>
    <t>| исход | доля | E[NPV \| исход] |</t>
  </si>
  <si>
    <t>| жив 60 мес | 72.20% | $808 083 |</t>
  </si>
  <si>
    <t>| неплатёжеспособность | 0.00% | — |</t>
  </si>
  <si>
    <t>| добровольное закрытие | 22.09% | −$54 163 |</t>
  </si>
  <si>
    <t>| провал запуска | 5.71% | −$32 774 |</t>
  </si>
  <si>
    <t>Из 20 000 прогонов пятилетнего стартапа в Узбекистане — НОЛЬ банкротств.</t>
  </si>
  <si>
    <t>Минимальный NPV по всем 20 000 = −$105 422. Доля прогонов с NPV &lt; −$150 000</t>
  </si>
  <si>
    <t>(то есть потерей заявленного капитала) = 0.000%. Модель утверждает, что</t>
  </si>
  <si>
    <t>основатель не может потерять даже свои $150 тыс, ни в одном из двадцати тысяч</t>
  </si>
  <si>
    <t>миров. Причина — совокупность механик: отрицательный ЧОК (п. 5) даёт бесплатное</t>
  </si>
  <si>
    <t>финансирование, ежемесячный вымет кассы держит фирму тонкой, кредиторка списывается</t>
  </si>
  <si>
    <t>даром, а выход стоит ноль. Это не консервативная модель — это модель без левого хвоста.</t>
  </si>
  <si>
    <t>Зеркальная патология — капиталоёмкие идеи убиты механикой, а не экономикой (см. ниже).</t>
  </si>
  <si>
    <t>## ДОПОЛНИТЕЛЬНО: три структурных дефекта, не входившие в задание</t>
  </si>
  <si>
    <t>### Д1. ИНФЛЯЦИИ ЗАТРАТ В МОДЕЛИ НЕТ ВОВСЕ — ГРУБАЯ ОШИБКА, завышает NPV на 20-30%</t>
  </si>
  <si>
    <t>Код (стр. 209-211): payroll = (fte_del + fte_sal)  fte_cost  fx_eff_cost;</t>
  </si>
  <si>
    <t>opex = fixed_op  fx_eff_cost + payroll + ...</t>
  </si>
  <si>
    <t>fte_cost и fixed_op разыгрываются один раз и умножаются только на валютный</t>
  </si>
  <si>
    <t>множитель (= 1.0 при нулевом дрейфе). Зарплаты, аренда и постоянные расходы</t>
  </si>
  <si>
    <t>номинально заморожены на 60 месяцев. При этом:</t>
  </si>
  <si>
    <t>- цены растут: price_escalation_annual = 5%</t>
  </si>
  <si>
    <t>- CAC растёт: cac_growth_annual = 12%</t>
  </si>
  <si>
    <t>- затраты: 0%</t>
  </si>
  <si>
    <t>В экономике с инфляцией 9-10% и ростом зарплат специалистов 12-18% в год модель</t>
  </si>
  <si>
    <t>дарит бизнесу одностороннее раздвижение ножниц 5 п.п. в год.</t>
  </si>
  <si>
    <t>Измерено (добавлен cost_escalation_annual в копию движка, цены оставлены +5%):</t>
  </si>
  <si>
    <t>| инфляция затрат | E_NPV | выживание | Δ |</t>
  </si>
  <si>
    <t>| 0%/год (как в модели) | $569 643 | 72.2% | — |</t>
  </si>
  <si>
    <t>| 5%/год | $499 350 | 66.6% | −$70 293 (−12.3%) |</t>
  </si>
  <si>
    <t>| 8%/год | $455 395 | 63.3% | −$114 248 (−20.1%) |</t>
  </si>
  <si>
    <t>| 10%/год (реалистично) | $425 403 | 61.2% | −$144 240 (−25.3%) |</t>
  </si>
  <si>
    <t>| 12%/год | $394 918 | 59.2% | −$174 724 (−30.7%) |</t>
  </si>
  <si>
    <t>Это второе по величине искажение после ставки дисконта, и оно не упомянуто</t>
  </si>
  <si>
    <t>нигде в документации модели.</t>
  </si>
  <si>
    <t>### Д2. Капиталоёмкие идеи убиты механикой запуска, а не экономикой — ОШИБКА</t>
  </si>
  <si>
    <t>Код (стр. 154-160):</t>
  </si>
  <si>
    <t>inj = capex0 + fixed_op  prefund_months</t>
  </si>
  <si>
    <t>inj = np.minimum(inj, owner_cap) # обрезка по лимиту ОСНОВАТЕЛЯ</t>
  </si>
  <si>
    <t>cash += inj; capex_spent = np.minimum(capex0, cash); cash -= capex_spent</t>
  </si>
  <si>
    <t>Модель покупает 100% capex в месяце 0, в кассу, и при этом обрезает вливание</t>
  </si>
  <si>
    <t>лимитом основателя. Если capex0 ≥ owner_capital, то cash → 0 до первого месяца</t>
  </si>
  <si>
    <t>операций, и фирма гибнет от неплатёжеспособности на месяце 1-2.</t>
  </si>
  <si>
    <t>Измерено на PRO-22 (startup_capex = [80 000, 150 000, 250 000], капитал $150 000):</t>
  </si>
  <si>
    <t>| вариант | выживание | E_NPV | медиана месяца смерти |</t>
  </si>
  <si>
    <t>| как есть | 0.00% | −$129 300 | месяц 2 (99.93% — неплатёжеспособность) |</t>
  </si>
  <si>
    <t>| тот же бизнес, capex ÷ 10 | 0.85% | −$91 647 | — |</t>
  </si>
  <si>
    <t>| тот же capex, капитал $400 тыс | 0.90% | −$208 346 | — |</t>
  </si>
  <si>
    <t>Во всех пяти сценариях run_sim.py (base, opportunity_cost, devaluation,</t>
  </si>
  <si>
    <t>hard_competition, slow_window) PRO-22 даёт ровно 0.0% выживания и NPV</t>
  </si>
  <si>
    <t>в диапазоне −$129 119 … −$129 391. Сценарии не различают идею вообще — верный</t>
  </si>
  <si>
    <t>признак, что работает не экономика, а механика.</t>
  </si>
  <si>
    <t>Реальный основатель: берёт оборудование в лизинг, покупает поэтапно под контракт,</t>
  </si>
  <si>
    <t>арендует лабораторию, привлекает соинвестора. Ничего из этого модель не допускает.</t>
  </si>
  <si>
    <t>Вывод «энергоаудит не работает» не заработан моделью — он предопределён</t>
  </si>
  <si>
    <t>строчками 154-160. Это делает сравнение капиталоёмких идей с консалтинговыми</t>
  </si>
  <si>
    <t>методологически недействительным.</t>
  </si>
  <si>
    <t>### Д3. Мёртвый и вводящий в заблуждение код</t>
  </si>
  <si>
    <t>| что | где | следствие |</t>
  </si>
  <si>
    <t>| ramp_m = int(dl.get("ramp_months", 2)) | стр. 70, нигде не используется | обещанная в docstring рампа новичка отсутствует; новый сотрудник продуктивен с первого дня → завышает NPV |</t>
  </si>
  <si>
    <t>| cap_deliver не связывает никогда (0.00%) | стр. 190-193 | max_hires_per_month, clients_per_fte, max_fte инертны; «ОГРАНИЧЕННАЯ СКОРОСТЬ НАЙМА» из docstring не работает |</t>
  </si>
  <si>
    <t>| want = clip(need_del + 1.0 - fte_del, ...) | стр. 256 | найм всегда на 1 FTE вперёд — причина, по которой мощность никогда не связывает |</t>
  </si>
  <si>
    <t>| peak_need = max(peak_need, injected) | стр. 270 | injected монотонна, поэтому peak_need ≡ injected; это суммарно внесённый капитал, а не «пиковая потребность» — название вводит в заблуждение |</t>
  </si>
  <si>
    <t>| room = owner_cap − injected не пополняется | стр. 265 | владелец получил $303 тыс распределений, но всё ещё не может внести больше $150 тыс за всю жизнь → занижает гибкость |</t>
  </si>
  <si>
    <t>| vat_credit списывается, но не уменьшает платёж | стр. 240-241 | латентный баг, сработает при vat_passthrough_b2b: false |</t>
  </si>
  <si>
    <t>| у каждого сценария свой seed | run_sim.py стр. 15-25 | сравнение сценариев несёт лишний шум ±$9 тыс; нужны common random numbers |</t>
  </si>
  <si>
    <t># F. СКОРИНГ</t>
  </si>
  <si>
    <t>## 15. Линейная свёртка GE-McKinsey — НЕТОЧНОСТЬ. Ранги почти не меняет, но маскирует то, что нужно видеть.</t>
  </si>
  <si>
    <t>Код (score_lib.py стр. 27-28, 38): A = Σ w_i·s_i, итог = 0.7A + 0.3B.</t>
  </si>
  <si>
    <t>Полная компенсаторность: любая слабость выкупается любой силой.</t>
  </si>
  <si>
    <t>Проверка: линейная свёртка против геометрической (взвешенной), на реальных данных passes.py:</t>
  </si>
  <si>
    <t>| идея | линейная | геометрическая | Δ | min по оси A | ранг лин. | ранг геом. |</t>
  </si>
  <si>
    <t>| FIN-01+ | 7.37 | 7.22 | −0.16 | 4.5 | 1 | 1 |</t>
  </si>
  <si>
    <t>| FIN-01 | 7.18 | 6.94 | −0.24 | 3.5 | 2 | 2 |</t>
  </si>
  <si>
    <t>| FIN-19 | 6.46 | 6.36 | −0.10 | 3.5 | 3 | 3 |</t>
  </si>
  <si>
    <t>| PRO-11 | 6.38 | 6.26 | −0.12 | 3.5 | 4 | 4 |</t>
  </si>
  <si>
    <t>| IND-01 | 6.31 | 6.25 | −0.06 | 5.5 | 5 | 5 |</t>
  </si>
  <si>
    <t>| PRO-22 | 6.11 | 6.03 | −0.07 | 4.5 | 6 | 7 |</t>
  </si>
  <si>
    <t>| FIN-11 | 6.09 | 6.05 | −0.05 | 5.0 | 7 | 6 |</t>
  </si>
  <si>
    <t>| PRO-16 | 6.01 | 5.92 | −0.09 | 3.5 | 8 | 8 |</t>
  </si>
  <si>
    <t>Честный результат: ранги почти не меняются (одна перестановка 6↔7). Значит</t>
  </si>
  <si>
    <t>компенсаторность не переворачивает вывод. Но она маскирует структуру решения:</t>
  </si>
  <si>
    <t>Конкретный пример из passes.py — FIN-01, итоговый балл 7.18, место 2:</t>
  </si>
  <si>
    <t>| критерий | средний балл | вес | что это значит на деле |</t>
  </si>
  <si>
    <t>| A3 why_now | 9.0 | 0.15 | окно AAOIFI 01.07.2027 |</t>
  </si>
  <si>
    <t>| A6 wtp | 8.5 | 0.10 | готовность платить доказана |</t>
  </si>
  <si>
    <t>| A1 economics | 8.0 | 0.24 | маржа, повторяемость |</t>
  </si>
  <si>
    <t>| A5 barriers | 8.0 | 0.12 | сертификация как барьер |</t>
  </si>
  <si>
    <t>| A2 market_size | 5.0 | 0.18 | TAM = 12-32 клиента на всю страну |</t>
  </si>
  <si>
    <t>| A4 white_space | 4.7 | 0.13 | место занято |</t>
  </si>
  <si>
    <t>| A7 exit | 3.5 | 0.08 | покупателя бизнеса нет |</t>
  </si>
  <si>
    <t>Обрати внимание: тот же самый конфиг Монте-Карло задаёт tam_customers: [12, 20, 32].</t>
  </si>
  <si>
    <t>Двадцать клиентов на всю страну. При чеке $4 500/мес это весь рынок $1.1 млн/год.</t>
  </si>
  <si>
    <t>Это не «5 из 10» — это структурный потолок, который делает невозможным любой исход,</t>
  </si>
  <si>
    <t>кроме микробизнеса. А «выхода нет» (3.5 из 10) при 5-летнем горизонте и 55% ответа</t>
  </si>
  <si>
    <t>в терминале — это не 8% веса, это условие задачи.</t>
  </si>
  <si>
    <t>Линейная сумма превращает два убийственных факта в −0.36 и −0.66 балла.</t>
  </si>
  <si>
    <t>Их сила в том, что они абсолютные ограничения, а не «слабые стороны».</t>
  </si>
  <si>
    <t>Самое показательное — FIN-01+ против FIN-01. Это одна и та же идея, объявленная</t>
  </si>
  <si>
    <t>«комбинацией» (советы + аудит + сертификация + сукук). Сравнение баллов P1:</t>
  </si>
  <si>
    <t>| | A2 market_size | A7 exit | A6 wtp | ИТОГ | место |</t>
  </si>
  <si>
    <t>| FIN-01 | 5.5 | 4.0 | 9.0 | 7.18 | 2 |</t>
  </si>
  <si>
    <t>| FIN-01+ | 6.5 | 5.0 | 8.5 | 7.37 | 1 |</t>
  </si>
  <si>
    <t>Рынок вырос на +1.0 балла и потенциал выхода на +1.0 — без единого нового</t>
  </si>
  <si>
    <t>свидетельства, просто потому что услуги сложили. Но клиенты те же самые</t>
  </si>
  <si>
    <t>(те же 12-32 института), просто продаём им больше услуг. Это не расширение рынка,</t>
  </si>
  <si>
    <t>это рост чека — и он уже сидит в A1 economics. Двойной счёт внутри скоринга,</t>
  </si>
  <si>
    <t>и именно он дал первое место. Линейная свёртка это скрыла: +1.0 × 0.18 + 1.0 × 0.08 =</t>
  </si>
  <si>
    <t>+0.26 балла итога, ровно та величина, что разделила места 1 и 2 (7.37 − 7.18 = 0.19).</t>
  </si>
  <si>
    <t>Второй методологический разрыв: скоринг и симуляция никак не связаны.</t>
  </si>
  <si>
    <t>score_idea() не знает про NPV, simulate() не знает про баллы. Одна и та же</t>
  </si>
  <si>
    <t>величина (размер рынка) оценена дважды и по-разному: 5.0-6.5 из 10 в скоринге</t>
  </si>
  <si>
    <t>и 12-32 клиента в симуляции. Никакой сверки между ними нет.</t>
  </si>
  <si>
    <t>## 16. «Три независимых прохода» — ОШИБКА МЕТОДА. Это самообман, и он измерим.</t>
  </si>
  <si>
    <t>Заявлено (02_weights_LOCKED.md, «Протокол скоринга»): «3 независимых прохода</t>
  </si>
  <si>
    <t>на идею: P1 «база», P2 «скептик», P3 «арбитр» (перечитывает свидетельства заново,</t>
  </si>
  <si>
    <t>не глядя на P1/P2 до выставления)».</t>
  </si>
  <si>
    <t>Проверено по всем 238 ячейкам (17 идей × 14 критериев):</t>
  </si>
  <si>
    <t>| измерение | результат |</t>
  </si>
  <si>
    <t>| P2 − P1: среднее | −0.998 |</t>
  </si>
  <si>
    <t>| P2 − P1: ст. откл. | 0.262 |</t>
  </si>
  <si>
    <t>| P2 − P1: весь набор встретившихся значений | {−2.0, −1.5, −1.0, −0.5} |</t>
  </si>
  <si>
    <t>| доля ячеек, где P2 НИЖЕ P1 | 100.0% |</t>
  </si>
  <si>
    <t>| доля ячеек, где P2 ВЫШЕ P1 | 0.0% |</t>
  </si>
  <si>
    <t>| доля ячеек, где P2 = P1 | 0.0% |</t>
  </si>
  <si>
    <t>| P3 − P1: среднее | −0.536 |</t>
  </si>
  <si>
    <t>| доля ячеек, где P3 — РОВНО середина между P1 и P2 | 73.9% |</t>
  </si>
  <si>
    <t>| корреляция (P2−P1) с (P3−P1) | 0.863 |</t>
  </si>
  <si>
    <t>Что это значит:</t>
  </si>
  <si>
    <t>1. Скептик ни разу за 238 попыток не поставил балл ВЫШЕ базового. Настоящий</t>
  </si>
  <si>
    <t>независимый оценщик расходится в обе стороны — где-то он строже, где-то</t>
  </si>
  <si>
    <t>видит недооценённое. Односторонность 100.0% математически доказывает,</t>
  </si>
  <si>
    <t>что P2 — не оценка, а вычитание константы.</t>
  </si>
  <si>
    <t>2. «Арбитр» в 74% ячеек — среднее арифметическое между P1 и P2. Он не</t>
  </si>
  <si>
    <t>«перечитывает свидетельства», он интерполирует.</t>
  </si>
  <si>
    <t>3. Разброс между проходами измеряет РОВНО ОДНО: величину скидки, которую автор</t>
  </si>
  <si>
    <t>решил применить. Он не измеряет ни неопределённость оценки, ни расхождение</t>
  </si>
  <si>
    <t>суждений, ни надёжность свидетельств. Показывать его как «ст.откл по итогу» —</t>
  </si>
  <si>
    <t>ложная сигнализация о качестве.</t>
  </si>
  <si>
    <t>И самое разрушительное — на решение этот разброс не влияет вообще:</t>
  </si>
  <si>
    <t>| | P1 | P2 | P3 |</t>
  </si>
  <si>
    <t>| ранговая корреляция порядка идей с P1 | 1.000 | 0.980 | 0.990 |</t>
  </si>
  <si>
    <t>| ТОП-5 | FIN-01+, FIN-01, FIN-19, PRO-11, IND-01 | тот же | тот же |</t>
  </si>
  <si>
    <t>Постоянная скидка, применённая ко всем идеям, в ранжировании сокращается</t>
  </si>
  <si>
    <t>тождественно. Три прохода дали один и тот же порядок и один и тот же топ-5.</t>
  </si>
  <si>
    <t>Вся процедура — ноль информации при трёхкратных затратах.</t>
  </si>
  <si>
    <t>Как сделать честно (любое из трёх):</t>
  </si>
  <si>
    <t>- разные проходы по разным свидетельствам (P1 — только проверяемые факты,</t>
  </si>
  <si>
    <t>P2 — только веб-подтверждённое, P3 — только то, что подтвердил бы практик отрасли);</t>
  </si>
  <si>
    <t>- предрегистрация правил снижения («−2 балла, если конкурент не проверен поиском»)</t>
  </si>
  <si>
    <t>вместо свободного суждения;</t>
  </si>
  <si>
    <t>- честное признание: «это один оценщик с чувствительностью к консерватизму»,</t>
  </si>
  <si>
    <t>и тогда показывать не разброс, а результат теста на перелом рангов:</t>
  </si>
  <si>
    <t>«насколько надо снизить A2 у FIN-01, чтобы он ушёл из топ-3».</t>
  </si>
  <si>
    <t>## 17. Границы клеток 4.33/6.67 — НЕТОЧНОСТЬ. Выведены неверно, но вывод не меняют. Настоящая проблема — в другом.</t>
  </si>
  <si>
    <t>Три отдельных замечания:</t>
  </si>
  <si>
    <t>(а) Расхождение кода и документа. score_lib.py стр. 41: x &lt; 4.34.</t>
  </si>
  <si>
    <t>02_weights_LOCKED.md: «низкая 1.0-4.33». Мелочь, но зафиксированный документ</t>
  </si>
  <si>
    <t>и исполняемый код расходятся.</t>
  </si>
  <si>
    <t>(б) Границы выведены из не той шкалы. 4.33 и 6.67 — это трети отрезка [0, 10].</t>
  </si>
  <si>
    <t>Шкала критериев объявлена [1, 10]. Корректные трети [1,10] — это 4.00 и 7.00.</t>
  </si>
  <si>
    <t>Балл 1 («худшее возможное») в модели не «низ шкалы», а 10% от неё.</t>
  </si>
  <si>
    <t>(в) Что даёт смена границ (прогнано по топ-10):</t>
  </si>
  <si>
    <t>| идея | A | B | 4.34/6.67 (код) | 4.0/7.0 (трети [1,10]) | 5.0/7.0 |</t>
  </si>
  <si>
    <t>| FIN-01+ | 7.17 | 7.86 | Инвест/расти | Инвест/расти | Инвест/расти |</t>
  </si>
  <si>
    <t>| FIN-01 | 6.87 | 7.90 | Инвест/расти | Инвест/расти | Инвест/расти |</t>
  </si>
  <si>
    <t>| FIN-19 | 6.02 | 7.49 | Инвест/расти | Инвест/расти | Инвест/расти |</t>
  </si>
  <si>
    <t>| PRO-11 | 5.94 | 7.41 | Инвест/расти | Инвест/расти | Инвест/расти |</t>
  </si>
  <si>
    <t>| IND-01 | 6.62 | 5.59 | Избирательно | Избирательно | Избирательно |</t>
  </si>
  <si>
    <t>| PRO-22 | 6.37 | 5.50 | Избирательно | Избирательно | Избирательно |</t>
  </si>
  <si>
    <t>| FIN-11 | 5.90 | 6.55 | Избирательно | Избирательно | Избирательно |</t>
  </si>
  <si>
    <t>| PRO-16 | 5.58 | 7.01 | Инвест/расти | Инвест/расти | Инвест/расти |</t>
  </si>
  <si>
    <t>| FIN-03 | 5.55 | 6.83 | Инвест/расти | Избирательно | Избирательно |</t>
  </si>
  <si>
    <t>| PRO-09 | 5.82 | 6.14 | Избирательно | Избирательно | Избирательно |</t>
  </si>
  <si>
    <t>Смена границ меняет клетку в 2 случаях из 20 — и только у FIN-03 (9-е место),</t>
  </si>
  <si>
    <t>который на решение не влияет. Вывод по топ-4 устойчив к границам.</t>
  </si>
  <si>
    <t>(г) Но настоящая проблема серьёзнее — матрица не различает идеи.</t>
  </si>
  <si>
    <t>По всем 17 идеям: ось A лежит в [4.93; 7.17] — разброс 2.24 балла из 9 возможных;</t>
  </si>
  <si>
    <t>ось B в [5.50; 7.90]. Идей с A &gt; 6.67: две. С A &gt; 7.0: одна.</t>
  </si>
  <si>
    <t>То есть весь длинный список умещается в одну-две клетки девятиклеточной матрицы,</t>
  </si>
  <si>
    <t>причём ровно в середину. Матрица 3×3, у которой заняты 2 клетки, ничего не сортирует —</t>
  </si>
  <si>
    <t>сортирует непрерывный итоговый балл, а девятиклеточное представление создаёт</t>
  </si>
  <si>
    <t>иллюзию качественной классификации там, где на деле одна шкала.</t>
  </si>
  <si>
    <t>Это диагноз не границ, а сжатости оценок: оценщик не пользуется краями шкалы.</t>
  </si>
  <si>
    <t># ТРИ ГЛАВНЫЕ ОШИБКИ МОДЕЛИ</t>
  </si>
  <si>
    <t>## № 1. Ставка 19.7% применена к долларовым потокам — и заодно наказывает за риск дважды. Занижает NPV примерно в 1.5 раза.</t>
  </si>
  <si>
    <t>19.7% — доходность сумового депозита; все потоки модели долларовые. Валютного</t>
  </si>
  <si>
    <t>перевода нет. При исторической девальвации сума 8-10%/год долларовый эквивалент</t>
  </si>
  <si>
    <t>той же альтернативы — 9.8-12%, что даёт E_NPV $775-850 тыс вместо $570 тыс (+36…+49%).</t>
  </si>
  <si>
    <t>Хуже того, конфиги постулируют uzs_vs_usd_annual_drift = 0.0 — то есть модель</t>
  </si>
  <si>
    <t>одновременно утверждает, что сум не падает и что сумовой депозит даёт 19.7%,</t>
  </si>
  <si>
    <t>а это безрисковые 19.7% в долларах: допущение, которое само по себе отменяет</t>
  </si>
  <si>
    <t>смысл открывать бизнес. Два допущения несовместимы.</t>
  </si>
  <si>
    <t>Поверх этого — двойной счёт риска: Монте-Карло уже моделирует провал запуска,</t>
  </si>
  <si>
    <t>отсутствие спроса, конкурента, неплатёжеспособность и закрытие; риск сидит в путях</t>
  </si>
  <si>
    <t>и виден в распределении. Дисконтировать это ещё раз по рисковой ставке — значит</t>
  </si>
  <si>
    <t>оштрафовать одно и то же дважды. Дисконт-фактор на 60-м месяце: 0.407 против 0.621,</t>
  </si>
  <si>
    <t>а терминал даёт 55% ответа.</t>
  </si>
  <si>
    <t>Почему главная: это единственное искажение, сопоставимое по величине со всем</t>
  </si>
  <si>
    <t>остальным вместе взятым, и оно бьёт одинаково по всем идеям, то есть не видно</t>
  </si>
  <si>
    <t>в сравнении, зато полностью определяет ответ на вопрос «стоит ли вообще входить».</t>
  </si>
  <si>
    <t>## № 2. Инфляции затрат нет, а инфляция цен есть. Завышает NPV на 20-30%.</t>
  </si>
  <si>
    <t>fte_cost и fixed_opex разыгрываются один раз и остаются номинально</t>
  </si>
  <si>
    <t>неизменными 60 месяцев. При этом цены индексируются на 5%/год, CAC — на 12%/год.</t>
  </si>
  <si>
    <t>В стране с инфляцией 9-10% и ростом зарплат специалистов 12-18% модель дарит</t>
  </si>
  <si>
    <t>бизнесу одностороннее раздвижение ножниц маржи в 5 процентных пунктов ежегодно,</t>
  </si>
  <si>
    <t>пять лет подряд.</t>
  </si>
  <si>
    <t>Измерено: при инфляции затрат 10%/год E_NPV падает с $569 643 до $425 403</t>
  </si>
  <si>
    <t>(−25.3%), выживание с 72.2% до 61.2%. При 12% — −30.7%.</t>
  </si>
  <si>
    <t>Почему главная: это не спорное допущение, это отсутствующий механизм.</t>
  </si>
  <si>
    <t>Ни в docstring, ни в конфигах, ни в документации нет даже параметра. Ошибка</t>
  </si>
  <si>
    <t>направлена ровно противоположно ошибке № 1, но не гасит её — она бьёт по</t>
  </si>
  <si>
    <t>операционной марже, тогда как № 1 бьёт по терминалу, поэтому они искажают</t>
  </si>
  <si>
    <t>разные части ответа и меняют структуру решения, а не только его уровень.</t>
  </si>
  <si>
    <t>## № 3. У модели нет левого хвоста, зато есть механический убийца капиталоёмких идей. Искажает не уровень, а САМО СРАВНЕНИЕ идей.</t>
  </si>
  <si>
    <t>Две зеркальные патологии одной и той же механики капитала:</t>
  </si>
  <si>
    <t>Слева ничего нет. Из 20 000 прогонов пятилетнего стартапа: ноль банкротств</t>
  </si>
  <si>
    <t>(P_insolvency = 0.00%), минимальный NPV за все 20 000 миров = −$105 422,</t>
  </si>
  <si>
    <t>доля исходов с потерей заявленного капитала $150 тыс = 0.000%. Модель считает</t>
  </si>
  <si>
    <t>невозможным потерять собственные деньги. Собрано это из четырёх поблажек сразу:</t>
  </si>
  <si>
    <t>отрицательный ЧОК даёт бесплатное финансирование (кредиторка начисляется на</t>
  </si>
  <si>
    <t>зарплату, соцналог и аренду — п. 5); касса ежемесячно выметается владельцу,</t>
  </si>
  <si>
    <t>поэтому под ударом всегда тонкий остаток; при закрытии кредиторка $34-44 тыс</t>
  </si>
  <si>
    <t>списывается безвозмездно; издержек выхода нет.</t>
  </si>
  <si>
    <t>Справа всё убито. Для идей с capex ≥ капитала основателя модель покупает</t>
  </si>
  <si>
    <t>100% оборудования в месяце 0 и обрезает вливание лимитом $150 тыс, оставляя</t>
  </si>
  <si>
    <t>ноль на операции. PRO-22 гибнет на месяце 2 в 99.93% прогонов,</t>
  </si>
  <si>
    <t>показывая ровно 0.0% выживания во всех пяти сценариях и NPV −$129.1…−$129.4 тыс</t>
  </si>
  <si>
    <t>(сценарии идею вообще не различают). Опцион закрытия здесь бесполезен при любом</t>
  </si>
  <si>
    <t>check_month — проверено на 3, 6, 12, 18, 24: результат идентичен. Лизинг, поэтапная</t>
  </si>
  <si>
    <t>закупка, соинвестор — не предусмотрены.</t>
  </si>
  <si>
    <t>Почему главная: ошибки № 1 и № 2 сдвигают уровень и потому частично</t>
  </si>
  <si>
    <t>сокращаются при сравнении идей. Эта — систематически завышает лёгкие консалтинговые</t>
  </si>
  <si>
    <t>модели и обнуляет капиталоёмкие, то есть искажает именно то, ради чего вся</t>
  </si>
  <si>
    <t>конструкция построена: выбор между идеями. Вывод «FIN-01+ лучше PRO-22» в текущей</t>
  </si>
  <si>
    <t>модели не заработан экономикой — он в значительной части предопределён</t>
  </si>
  <si>
    <t>строчками 154-160 и 245-248.</t>
  </si>
  <si>
    <t># ЧТО ИСПРАВИТЬ В ПЕРВУЮ ОЧЕРЕДЬ</t>
  </si>
  <si>
    <t>Порядок = (величина искажения) × (лёгкость починки). Первые пять дадут ~90% эффекта.</t>
  </si>
  <si>
    <t>### Уровень 0 — сделать за час, меняет ответ радикально</t>
  </si>
  <si>
    <t>1. Привести ставку дисконта в валюту потока.</t>
  </si>
  <si>
    <t>run_sim.py стр. 11. Либо дисконтировать USD-поток ставкой</t>
  </si>
  <si>
    <t>(1.197 / (1 + ожидаемая девальвация)) − 1 ≈ 9.8-12%, либо перевести весь поток</t>
  </si>
  <si>
    <t>в сумы и оставить 19.7%. Нельзя смешивать. И решить, наконец, чему верить:</t>
  </si>
  <si>
    <t>uzs_drift = 0 или сумовая ставка 19.7% — вместе они не живут.</t>
  </si>
  <si>
    <t>→ E_NPV FIN-01+ вырастет до $775-850 тыс.</t>
  </si>
  <si>
    <t>Отдельно показать две цифры: NPV при безрисковой ставке (риск уже в путях)</t>
  </si>
  <si>
    <t>и NPV при пороговой доходности (риск наказан дважды). Разница — цена риска, и её</t>
  </si>
  <si>
    <t>надо видеть, а не прятать в одном числе.</t>
  </si>
  <si>
    <t>2. Добавить инфляцию затрат.</t>
  </si>
  <si>
    <t>Один параметр cost_escalation_annual и один множитель (1 + ce)yrs на payroll</t>
  </si>
  <si>
    <t>и fixed_op (стр. 209-211). Ставить 10-14% (рост зарплат специалистов в РУз),</t>
  </si>
  <si>
    <t>а не 0. → E_NPV упадёт на 20-30%. Без этого сравнение маржи через 5 лет — фикция.</t>
  </si>
  <si>
    <t>3. Убрать фантомный налоговый щит на альтернативную зарплату основателя.</t>
  </si>
  <si>
    <t>founder_salary_month вычитать после налога, а не внутри opex (стр. 211),</t>
  </si>
  <si>
    <t>либо начислять на неё соцналог — но выбрать что-то одно, а не обе выгодные трактовки.</t>
  </si>
  <si>
    <t>→ убирает $23 923 незаработанного NPV в сценарии opportunity_cost.</t>
  </si>
  <si>
    <t>### Уровень 1 — полдня, чинит механику</t>
  </si>
  <si>
    <t>4. Считать кредиторку только по отсрочиваемой базе.</t>
  </si>
  <si>
    <t>Стр. 246: ap_new = (cogs + отсрочиваемая_часть_fixed_opex)  dpo / 30.</t>
  </si>
  <si>
    <t>Исключить payroll, social и founder_salary. → потребность в капитале</t>
  </si>
  <si>
    <t>вырастет с $51 тыс до $58-61 тыс (+12-19%), NPV снизится на 3-4%.</t>
  </si>
  <si>
    <t>Эта цифра важнее NPV: от неё зависит, хватает ли $150 тыс.</t>
  </si>
  <si>
    <t>5. Разматывать оборотный капитал в конце — и при смерти, и в терминале.</t>
  </si>
  <si>
    <t>Стр. 275, 283, 293, 323: при любом выходе добавлять +AR·recovery − AP (кредиторку</t>
  </si>
  <si>
    <t>платить), в терминале добавлять +(AR − AP) к tv или прямо в поток месяца 60.</t>
  </si>
  <si>
    <t>→ терминал вырастет на ~$69 тыс номинала, ликвидация при смерти упадёт на $34-44 тыс.</t>
  </si>
  <si>
    <t>Вместе это и есть починка левого хвоста.</t>
  </si>
  <si>
    <t>6. Разрешить поэтапный capex и лизинг.</t>
  </si>
  <si>
    <t>Стр. 154-160: ввести capex_schedule (доля в месяце 0 / далее по мере роста)</t>
  </si>
  <si>
    <t>и capex_lease_share с ежемесячным платежом вместо единовременной покупки.</t>
  </si>
  <si>
    <t>Без этого любое сравнение капиталоёмкой идеи с консалтингом недействительно.</t>
  </si>
  <si>
    <t>Затем перепрогнать PRO-22 — и только после этого делать вывод о ней.</t>
  </si>
  <si>
    <t>7. Добавить амортизацию capex в налоговую базу.</t>
  </si>
  <si>
    <t>Стр. 232: ebt = ebitda − capex_spent / срок_амортизации_мес. Сейчас capex</t>
  </si>
  <si>
    <t>вообще не даёт налогового щита. Для PRO-22 это $12-37 тыс налога.</t>
  </si>
  <si>
    <t>### Уровень 2 — день, чинит метод</t>
  </si>
  <si>
    <t>8. Заменить треугольные на логнормальные для чека, TAM и мультипликатора.</t>
  </si>
  <si>
    <t>Функция tri() (стр. 22-29) → добавить lnorm(rng, [p10, мода, p90], n).</t>
  </si>
  <si>
    <t>Сейчас P(чек &gt; верхней границы) = 0.00%, должно быть ~10%. Правый хвост —</t>
  </si>
  <si>
    <t>это и есть венчурная доходность, и модель его вырезала. Для долей (win-rate,</t>
  </si>
  <si>
    <t>маржа, отток) — бета-распределение.</t>
  </si>
  <si>
    <t>9. Сделать общий фактор логнормальным и серьёзно повысить ρ.</t>
  </si>
  <si>
    <t>Стр. 49-62: exp(ρz − ρ²/2) вместо clip(1 + ρz) — уберёт сдвиг +2.4% в оттоке</t>
  </si>
  <si>
    <t>и +0.8% в CAC, и, главное, будет работать одинаково для умножения и деления.</t>
  </si>
  <si>
    <t>clip при ρ=0.15 срабатывает в 0.0005% случаев — он декоративный, а не защитный.</t>
  </si>
  <si>
    <t>И признать честно: при ρ=0.15 корреляция TAM~ARPU выходит 0.28, никаких</t>
  </si>
  <si>
    <t>«жирных хвостов» это не даёт. Либо поднять ρ до 0.35-0.5, либо убрать заявку из docstring.</t>
  </si>
  <si>
    <t>10. Переписать опцион закрытия как правило остановки, а не календарь.</t>
  </si>
  <si>
    <t>Стр. 288-296: выходить, когда ликвидация &gt; PV ожидаемого продолжения</t>
  </si>
  <si>
    <t>(оценить продолжение хотя бы грубо: EBITDA_ttm × мультипликатор, либо</t>
  </si>
  <si>
    <t>скользящей регрессией на тренд выручки). Проверять каждый месяц с момента</t>
  </si>
  <si>
    <t>первой выручки, а не с 18-го. Добавить издержки закрытия (выходное пособие,</t>
  </si>
  <si>
    <t>аренда, списание лицензии). Убрать условие «ebitda &lt; 0 именно в этом месяце» —</t>
  </si>
  <si>
    <t>один случайный прибыльный месяц не должен блокировать выход.</t>
  </si>
  <si>
    <t>11. Починить воронку: узкое место консалтинга — это люди, а не маркетинговый бюджет.</t>
  </si>
  <si>
    <t>Сейчас cap_budget связывает 61% месяцев, cap_deliver — 0.00%.</t>
  </si>
  <si>
    <t>Убрать +1.0 из стр. 256 (найм всегда на человека вперёд), реализовать наконец</t>
  </si>
  <si>
    <t>ramp_months (объявлен на стр. 70, не используется), и пересмотреть правило</t>
  </si>
  <si>
    <t>mkt_budget = 5% выручки, потому что сейчас оно — главный двигатель роста всей модели.</t>
  </si>
  <si>
    <t>12. Общие случайные числа для сравнения сценариев.</t>
  </si>
  <si>
    <t>run_sim.py стр. 15-25: один seed на все пять сценариев.</t>
  </si>
  <si>
    <t>Сейчас каждое сравнение base vs devaluation несёт лишний шум ±$9 тыс</t>
  </si>
  <si>
    <t>чисто от разных случайных чисел.</t>
  </si>
  <si>
    <t>### Уровень 3 — метод скоринга</t>
  </si>
  <si>
    <t>13. Ввести пороговые критерии (гейты), не отменяя линейную свёртку.</t>
  </si>
  <si>
    <t>Не менять веса (они зафиксированы — правильно), а добавить сверху правило:</t>
  </si>
  <si>
    <t>«A2 market_size &lt; 5.5 → идея не может быть выше «Избирательно» независимо от итога»,</t>
  </si>
  <si>
    <t>«A7 exit &lt; 4.0 при 5-летнем горизонте → флаг». Рядом с линейным итогом печатать</t>
  </si>
  <si>
    <t>геометрический — они уже посчитаны и почти совпадают по рангу, но расхождение</t>
  </si>
  <si>
    <t>показывает, у кого есть фатальная слабость. У FIN-01 и FIN-19 min по оси A = 3.5.</t>
  </si>
  <si>
    <t>14. Перестать называть три прохода независимыми.</t>
  </si>
  <si>
    <t>Доказано: P2 ниже P1 в 100.0% из 238 ячеек, P3 — точная середина в 74% ячеек,</t>
  </si>
  <si>
    <t>ранговая корреляция порядка идей 0.98-0.99, топ-5 идентичен во всех трёх.</t>
  </si>
  <si>
    <t>Показанный «разброс» измеряет размер скидки, а не неопределённость.</t>
  </si>
  <si>
    <t>Заменить на тест на перелом: «на сколько надо снизить A2 у FIN-01+, чтобы он</t>
  </si>
  <si>
    <t>вышел из топ-3». Это единственная цифра, которая говорит что-то о надёжности решения.</t>
  </si>
  <si>
    <t>15. Свести скоринг и симуляцию.</t>
  </si>
  <si>
    <t>Сейчас это две несвязанные системы: score_idea() не знает про NPV, simulate()</t>
  </si>
  <si>
    <t>не знает про баллы. Один и тот же факт оценён дважды и по-разному: размер рынка =</t>
  </si>
  <si>
    <t>6.5/10 в скоринге и 12-32 клиента в симуляции. Как минимум — печатать их</t>
  </si>
  <si>
    <t>рядом и требовать объяснения расхождений. И проверить конкретно FIN-01+ против</t>
  </si>
  <si>
    <t>FIN-01: там A2 поднят с 5.5 до 6.5 и A7 с 4.0 до 5.0 без нового свидетельства</t>
  </si>
  <si>
    <t>(клиенты те же, просто продаём им больше) — это рост чека, уже сидящий в A1,</t>
  </si>
  <si>
    <t>и именно эти +0.19 балла дали первое место.</t>
  </si>
  <si>
    <t>Всё измерено прогонами work/sim/engine.py с одиночными изменениями параметров;</t>
  </si>
  <si>
    <t>база — configs/FIN-01+.json, n=20 000, seed=101, если не сказано иное.</t>
  </si>
  <si>
    <t>engine.py не редактировался — инструментированные копии создавались во временной папке.</t>
  </si>
  <si>
    <t>Внешний критик</t>
  </si>
  <si>
    <t># K4 — ВНЕШНИЙ КРИТИК (замена Meta Muse)</t>
  </si>
  <si>
    <t>Читал только: 12_digest_short.txt (103 идеи) и 02_weights_LOCKED.md (веса).</t>
  </si>
  <si>
    <t>Цепочку рассуждений не читал сознательно. Проверял факты веб-поиском заново.</t>
  </si>
  <si>
    <t>Вердикт одной строкой: рекомендация технически аккуратна и стратегически неверна.</t>
  </si>
  <si>
    <t>Выбран не бизнес, а вторая профессия — причём в отрасли, где у человека нет права</t>
  </si>
  <si>
    <t>финального голоса, а у входящего конкурента уже есть место в Совете при ЦБ.</t>
  </si>
  <si>
    <t>## НОВЫЕ ФАКТЫ, КОТОРЫЕ Я НАШЁЛ И КОТОРЫХ НЕТ В ОБОСНОВАНИИ</t>
  </si>
  <si>
    <t>Это важнее любой риторики. Пять фактов, каждый бьёт по несущей конструкции.</t>
  </si>
  <si>
    <t>Ф1. Совет по исламским финансам при ЦБ — это 4 богослова + 1 финансист.</t>
  </si>
  <si>
    <t>Состав (создан 07.2026): председатель Саиджамол Масаитов — главный специалист Центра фетв</t>
  </si>
  <si>
    <t>при Управлении мусульман Узбекистана; зампред Мухаммадаюбхон Хомидов; специалисты Центра</t>
  </si>
  <si>
    <t>фетв Хикматилла Тоштемиров и Абдуллатиф Турсунов; пятый — Ахрорджон Садуллаев, управляющий</t>
  </si>
  <si>
    <t>партнёр Orient Audit Group. Пропорция 4:1 — это форма всего рынка. Богословов поставляет</t>
  </si>
  <si>
    <t>Муфтият, финансистов рынок берёт поштучно.</t>
  </si>
  <si>
    <t>Ф2. Конкурент, «сидящий в Совете при ЦБ», — не риск, а уже свершившийся факт.</t>
  </si>
  <si>
    <t>Вопрос №4 задан гипотетически. Отвечаю: это уже произошло. Управляющий партнёр локальной</t>
  </si>
  <si>
    <t>аудиторской группы занял единственное «техническое» кресло у регулятора ДО того, как</t>
  </si>
  <si>
    <t>рекомендуемый бизнес вообще начат. Он же будет писать нацстандарты, по которым потом будут</t>
  </si>
  <si>
    <t>аудировать. Вход на этот рынок теперь означает вход вторым номером на поле, где правила</t>
  </si>
  <si>
    <t>пишет первый.</t>
  </si>
  <si>
    <t>Ф3. Сертификат AAOIFI — не преимущество, у улемов он уже есть.</t>
  </si>
  <si>
    <t>Формулировка источника: большинство членов Совета — часть Совета улемов при Управлении</t>
  </si>
  <si>
    <t>мусульман и при этом имеют международные сертификаты AAOIFI. То есть CPSS не отделяет</t>
  </si>
  <si>
    <t>кандидата от конкурентов — он просто выравнивает его с людьми, у которых сверх сертификата</t>
  </si>
  <si>
    <t>есть фикх, арабский и институциональная легитимность. Требование «все члены с сертификатом</t>
  </si>
  <si>
    <t>с 01.07.2027» создаёт спрос не на консультанта, а на курсы подготовки к сертификации —</t>
  </si>
  <si>
    <t>и этот спрос закроют те, кто уже внутри.</t>
  </si>
  <si>
    <t>Ф4. Размер рынка по факту, а не по анонсам: 22 млрд сум (~$1.7 млн) исламских</t>
  </si>
  <si>
    <t>финуслуг за период с начала 2026 года. План регулятора: минимум одно исламское</t>
  </si>
  <si>
    <t>«окно» до конца 2026, два полноценных исламских банка за 2026-2030, минимум 10</t>
  </si>
  <si>
    <t>исламских банков к 2030. «10+ банков готовятся» — это намерение, а не спрос.</t>
  </si>
  <si>
    <t>Считаем снизу вверх честно: 10 институтов × ~1 «техническое» кресло × $2-6 тыс./мес.</t>
  </si>
  <si>
    <t>Весь адресуемый пул кресел в стране на горизонте пяти лет — порядка 10-15 штук,</t>
  </si>
  <si>
    <t>и делить его придётся с Orient Audit Group и Big4. Ретейнер $2-6 тыс./мес от банка,</t>
  </si>
  <si>
    <t>чья исламская книга приносит меньше, чем стоит сам ретейнер, — это статья расходов,</t>
  </si>
  <si>
    <t>которую урежут первой.</t>
  </si>
  <si>
    <t>Ф5. Члены шариатского совета банка признаются СВЯЗАННЫМИ ЛИЦАМИ банка —</t>
  </si>
  <si>
    <t>с ограничением прав на страховое возмещение и повышенной ответственностью за</t>
  </si>
  <si>
    <t>устойчивость организации. Два следствия, оба ломают модель:</t>
  </si>
  <si>
    <t>- (а) арифметика «много ретейнеров × много банков» предполагает переносимость кресла.</t>
  </si>
  <si>
    <t>Связанное лицо банка А в совете конкурирующего банка Б — это конфликт, который</t>
  </si>
  <si>
    <t>надзор рано или поздно закроет;</t>
  </si>
  <si>
    <t>- (б) нельзя одновременно сидеть в совете банка и быть его независимым внешним</t>
  </si>
  <si>
    <t>шариатским аудитором. А рекомендация складывает именно эти два потока выручки.</t>
  </si>
  <si>
    <t>Их придётся разносить по разным клиентам, и связка «кресло + аудит + сертификация</t>
  </si>
  <si>
    <t>продуктов у одного клиента» рассыпается.</t>
  </si>
  <si>
    <t>## 1. Это бизнес или работа?</t>
  </si>
  <si>
    <t>Это работа. Хорошо оплачиваемая, уважаемая, с гибким графиком — и работа.</t>
  </si>
  <si>
    <t>Три теста, все провалены:</t>
  </si>
  <si>
    <t>- Тест отчуждаемости. Регулятор одобряет ЧЕЛОВЕКА, не фирму. Кресло в совете, подпись</t>
  </si>
  <si>
    <t>под фетвой, сертификат AAOIFI — всё персональное и не передаётся при продаже юрлица.</t>
  </si>
  <si>
    <t>Покупатель получает договоры, которые расторгаются в день ухода основателя.</t>
  </si>
  <si>
    <t>- Тест «работает ли без меня». Не работает. 3-5 человек, из которых один держит</t>
  </si>
  <si>
    <t>все отношения и всю легитимность.</t>
  </si>
  <si>
    <t>- Тест покупателя. Кто платит за такую практику? Big4 — только acqui-hire: 0.5-1×</t>
  </si>
  <si>
    <t>выручки, 50-70% в earnout, лок-ап на 3 года. Это не выход, это смена работодателя</t>
  </si>
  <si>
    <t>с подписным бонусом. Региональные игроки (Amanie, Shariyah Review Bureau — SRB</t>
  </si>
  <si>
    <t>действительно куплен Al Marjea в 10.2025, сумма не раскрыта) покупают фирмы с</t>
  </si>
  <si>
    <t>20-летней историей и глобальной клиентской базой, а не узбекский бутик с десятью</t>
  </si>
  <si>
    <t>клиентами. Локальный стратег — Orient Audit Group, то есть конкурент, который к тому</t>
  </si>
  <si>
    <t>моменту будет сильнее.</t>
  </si>
  <si>
    <t>Реалистичная оценка: 3-5× EBITDA, EBITDA ~$250-350 тыс. → $1-1.7 млн заголовком,</t>
  </si>
  <si>
    <t>$400-600 тыс. деньгами вперёд, остальное — за то, что ты продолжишь ходить на работу.</t>
  </si>
  <si>
    <t>И отдельно — это противоречит его же стилю. Он сказал: высокий чек, низкая частота</t>
  </si>
  <si>
    <t>общения, устаёт от разговоров. Место в шариатском совете — это заседания, согласования,</t>
  </si>
  <si>
    <t>споры о трактовках с улемами, защита позиции перед надзором. Это максимальная частота</t>
  </si>
  <si>
    <t>общения при минимальном чеке и с религиозно заряженным предметом спора. Идея, которая</t>
  </si>
  <si>
    <t>на бумаге «идеально совпала с профилем», на практике попала ровно в то, от чего он бежит.</t>
  </si>
  <si>
    <t>## 2. Подогнан ли ответ под человека?</t>
  </si>
  <si>
    <t>Да. И механику подгонки видно прямо в файле весов — она не в скоринге, она в конструкции.</t>
  </si>
  <si>
    <t>(а) Ось «моя позиция» весит не 30%, а ~38%. Внутри оси A (рынок, 70%) сидит критерий</t>
  </si>
  <si>
    <t>A5 «Барьеры в НАШУ пользу» (0.12) — это критерий позиции, замаскированный под критерий</t>
  </si>
  <si>
    <t>рынка. 0.70 × 0.12 = 8.4 п.п. «рыночной привлекательности», которая на деле измеряет</t>
  </si>
  <si>
    <t>человека. Итого о нём: 30 + 8.4 = 38.4%.</t>
  </si>
  <si>
    <t>(б) Выход весит 5.6%. A7 exit = 0.08 × 0.70 = 5.6% — самый лёгкий критерий во всей</t>
  </si>
  <si>
    <t>системе. При том, что заявленная цель человека: «и денежный поток, и опцион на выход».</t>
  </si>
  <si>
    <t>Функция цели не кодирует цель. Всё, что построено дальше, безупречно решает не ту задачу.</t>
  </si>
  <si>
    <t>(в) FIN-01 — это идея, которая механически максимизирует именно лёгкие критерии.</t>
  </si>
  <si>
    <t>B1 speed_to_revenue (0.20, крупнейший в B), B2 reg_access (0.16), B3 fin_expertise (0.15),</t>
  </si>
  <si>
    <t>B7 style_fit — плюс A5 через сертификат, плюс A3 why_now (самая свежая и громкая реформа</t>
  </si>
  <si>
    <t>2026 года автоматически берёт максимум), плюс A4 white_space («никого нет» — потому что</t>
  </si>
  <si>
    <t>рынка ещё нет; отсутствие конкурентов на рынке без выручки — это не свободное место,</t>
  </si>
  <si>
    <t>это пустая комната). Единственное, что должно было её убить, — A2 market_size (0.18).</t>
  </si>
  <si>
    <t>Его, судя по результату, посчитали по пресс-релизам («10+ банков готовятся»), а не снизу</t>
  </si>
  <si>
    <t>вверх по Ф4.</t>
  </si>
  <si>
    <t>(г) Проверка конкурентов сделана на уровне ташкентских вывесок. В дайджесте:</t>
  </si>
  <si>
    <t>«Big4 делают финаудит, но не шариатский». Big4 держат полноценные Islamic Finance практики</t>
  </si>
  <si>
    <t>в Дубае, Манаме и Куала-Лумпуре и прилетят в тот день, когда на рынке появятся деньги.</t>
  </si>
  <si>
    <t>А локальный конкурент уже в Совете при ЦБ (Ф2).</t>
  </si>
  <si>
    <t>### Сильные по РЫНКУ идеи, отброшенные из-за несовпадения с профилем</t>
  </si>
  <si>
    <t>Общий признак у всех: им нужно больше $150 тыс. Настоящим фильтром была не</t>
  </si>
  <si>
    <t>привлекательность рынка, а размер личного кошелька. Для человека, который собрал</t>
  </si>
  <si>
    <t>15+ сделок на $250 млн+, это самый дорогой из возможных самоограничений.</t>
  </si>
  <si>
    <t>- [MED-12] Контрактное производство одноразовых медизделий. Самое вопиющее.</t>
  </si>
  <si>
    <t>У отца завод шприцев и систем. В весах есть специальный критерий B5 family_industry</t>
  </si>
  <si>
    <t>(0.13) — и идея, которая его единственная использует полностью, не выбрана. Рынок:</t>
  </si>
  <si>
    <t>централизованные госзакупки по ПП-408 (в редакциях 26.12.2025 и 24.06.2026), линия на</t>
  </si>
  <si>
    <t>100-150 млн шт/год = $4-8 млн выручки, private label для дистрибьюторов. Это</t>
  </si>
  <si>
    <t>производственный актив с производственными мультипликаторами и реальными стратегами</t>
  </si>
  <si>
    <t>(турецкие, китайские, региональные). Отброшено, судя по всему, критерием B1</t>
  </si>
  <si>
    <t>(скорость до дохода, 0.20) — самым крупным в оси B.</t>
  </si>
  <si>
    <t>- [IND-01] C&amp;I солнце + накопители по PPA. План 2026: +2.8 ГВт солнца, +884 МВт</t>
  </si>
  <si>
    <t>хранения; с 08.08.2026 впервые раскрыты тарифы по звеньям — то есть появилась</t>
  </si>
  <si>
    <t>возможность посчитать спред. Долгосрочные контрактованные денежные потоки — самый</t>
  </si>
  <si>
    <t>ликвидный класс активов в мире для инфраструктурных фондов. Отброшено по капиталу.</t>
  </si>
  <si>
    <t>- [AGR-01] Холодные склады и pack-house как услуга. Послеуборочные потери</t>
  </si>
  <si>
    <t>$1.2-1.7 млрд в год; экспорт плодоовощной 1П2026 — 1.09 млн т на $873 млн; только</t>
  </si>
  <si>
    <t>5% складских мощностей пригодны. Это рынок на порядки больше исламского банкинга,</t>
  </si>
  <si>
    <t>и он существует сегодня, а не с 2030 года. Покупатели готового объекта: ЕБРР/IFC/АБР,</t>
  </si>
  <si>
    <t>инфрафонды, региональная логистика. Отброшено: capex $2-6 млн и «операционка».</t>
  </si>
  <si>
    <t>- [FIN-16] / [FIN-17] ЗПИФ недвижимости / фонд private credit. ЗРУ-1158 в силе</t>
  </si>
  <si>
    <t>с 25.07.2026. Management fee на СЧА — это переносимая, повторяющаяся выручка,</t>
  </si>
  <si>
    <t>то есть единственная в списке вещь, которая по своей природе является продаваемым</t>
  </si>
  <si>
    <t>активом. Отброшено, судя по всему, из-за «соинвесторов нет». Но «соинвесторов нет» —</t>
  </si>
  <si>
    <t>это факт о сегодняшнем дне человека, у которого в телефоне управляющие директора</t>
  </si>
  <si>
    <t>Kapitalbank и член набсовета Garant Bank.</t>
  </si>
  <si>
    <t>- [MED-01] Сеть амбулаторного диализа под бюджетный тариф. Контрактованная выручка</t>
  </si>
  <si>
    <t>от государства, 156 сеансов на пациента в год, окно с 01.07.2026. Диализные сети —</t>
  </si>
  <si>
    <t>один из самых стандартно торгуемых медицинских активов в мире (турецкие и ближневосточные</t>
  </si>
  <si>
    <t>операторы скупают их серийно). Отброшено по capex $1.5-3 млн.</t>
  </si>
  <si>
    <t>- (в ту же корзину: [LOG-02] Термез, транс-афганский коридор с прогнозом 8-15 млн т.)</t>
  </si>
  <si>
    <t>## 3. Правильный ли масштаб амбиции?</t>
  </si>
  <si>
    <t>Нет. Масштаб занижен примерно на порядок, и это дорого стоит.</t>
  </si>
  <si>
    <t>Его самый редкий и дорогой навык — не сертификат, а способность структурировать сделку</t>
  </si>
  <si>
    <t>на $20-50 млн и заставить банк её профинансировать. В шариатской консультационной</t>
  </si>
  <si>
    <t>практике этот навык стоит ноль: за место в совете платят по ставке «специалист с</t>
  </si>
  <si>
    <t>сертификатом», а не «человек, закрывший $250 млн». Он идёт работать туда, где его главный</t>
  </si>
  <si>
    <t>актив не котируется.</t>
  </si>
  <si>
    <t>Арифметика, которая всё объясняет: один success fee по FIN-19 или PRO-11 на сделке</t>
  </si>
  <si>
    <t>$50 млн (0.5-1.5%) = $250-750 тыс. Это больше, чем весь пятилетний NPV $570 тыс.</t>
  </si>
  <si>
    <t>рекомендованной практики — за одну сделку. За пять лет их может быть три-пять.</t>
  </si>
  <si>
    <t>Настоящий масштаб и настоящий опцион на выход дают: FIN-16/FIN-17 (управляющая компания</t>
  </si>
  <si>
    <t>с AUM — франшиза, у которой есть покупатель), IND-01 и AGR-01 (физические</t>
  </si>
  <si>
    <t>контрактованные активы), MED-12 (производство). Аргумент «у него только $150 тыс.» —</t>
  </si>
  <si>
    <t>подмена понятий: он не покупатель, он спонсор. $150 тыс. — это GP-коммитмент или</t>
  </si>
  <si>
    <t>девелоперский капитал первой стадии, а не полная стоимость проекта. Именно это он делает</t>
  </si>
  <si>
    <t>на работе каждый день. Отвергать весь капиталоёмкий класс — значит превратить организатора</t>
  </si>
  <si>
    <t>сделок во фрилансера с сертификатом.</t>
  </si>
  <si>
    <t>## 4. Риск одного клиента и одного регулятора</t>
  </si>
  <si>
    <t>Неприемлемо для основного бизнеса. И это не теоретическая концентрация, а уже</t>
  </si>
  <si>
    <t>сложившаяся конфигурация:</t>
  </si>
  <si>
    <t>1. Один закон (ЗРУ-1126) + один регулятор (ЦБ) + одна религиозная институция (Муфтият),</t>
  </si>
  <si>
    <t>которая фактически решает, кто легитимен.</t>
  </si>
  <si>
    <t>2. Рынок ~10 институтов к 2030, а сегодня — одно «окно» и $1.7 млн совокупных услуг (Ф4).</t>
  </si>
  <si>
    <t>Это не «десяток банков», это счётное число клиентов, каждый из которых знает,</t>
  </si>
  <si>
    <t>что он у тебя один из пяти.</t>
  </si>
  <si>
    <t>3. Конкурент уже внутри регулятора (Ф2) и будет писать стандарты, по которым ты работаешь.</t>
  </si>
  <si>
    <t>4. Ключевой сертификат уже есть у тех, кто там сидит (Ф3).</t>
  </si>
  <si>
    <t>5. Статус связанного лица (Ф5) не даёт диверсифицироваться по банкам — то есть даже</t>
  </si>
  <si>
    <t>те 10 кресел не складываются в портфель.</t>
  </si>
  <si>
    <t>6. Политика уже замедляется относительно анонсов: с «$1 млрд инвестиций и исламский</t>
  </si>
  <si>
    <t>банкинг» до «минимум одно окно в 2026 и два банка к 2030».</t>
  </si>
  <si>
    <t>Как побочная линия (одно кресло, $2-6 тыс./мес, несколько дней в месяц) — отлично.</t>
  </si>
  <si>
    <t>Как бизнес, в который вкладывается карьера и $150 тыс., — нет.</t>
  </si>
  <si>
    <t>## 5. Репутационный и религиозный риск</t>
  </si>
  <si>
    <t>Здесь асимметрия хуже, чем денежная. Он берёт на себя весь риск фетвы, не имея права</t>
  </si>
  <si>
    <t>последнего слова.</t>
  </si>
  <si>
    <t>- В Узбекистане богословская легитимность институциональна: Управление мусульман,</t>
  </si>
  <si>
    <t>Совет улемов, Центр фетв. CPSS — сертификат по стандартам учёта и отчётности AAOIFI,</t>
  </si>
  <si>
    <t>это не иджаза и не богословская квалификация. В любом публичном споре оппонентом</t>
  </si>
  <si>
    <t>окажется Центр фетв, и спор закончится в момент, когда они откроют рот.</t>
  </si>
  <si>
    <t>- Требование к членам Совета при ЦБ включает владение арабским на уровне чтения и</t>
  </si>
  <si>
    <t>комментирования первоисточников по фикху. В его профиле арабского нет. Английский C1</t>
  </si>
  <si>
    <t>здесь не конвертируется.</t>
  </si>
  <si>
    <t>- Формат провала не коммерческий, а репутационный: не «фирма ошиблась в расчёте»,</t>
  </si>
  <si>
    <t>а «этот человек продал харам под видом халяля». Такое не страхуется, не забывается</t>
  </si>
  <si>
    <t>и переносится на фамилию — а у отца два завода и имя на рынке.</t>
  </si>
  <si>
    <t>- Плюс статус связанного лица банка (Ф5): если сертифицированный им продукт создаст</t>
  </si>
  <si>
    <t>проблему, он поимённо фигурирует у надзора.</t>
  </si>
  <si>
    <t>Единственная устойчивая позиция: быть техническим членом — структурирование,</t>
  </si>
  <si>
    <t>документация, учёт по AAOIFI FAS, аудит соответствия уже выданной кем-то другим фетве.</t>
  </si>
  <si>
    <t>Никогда не автором фетвы. Но это подряд у Муфтията, а не бизнес с ценовой властью.</t>
  </si>
  <si>
    <t>## 6. МОЙ АЛЬТЕРНАТИВНЫЙ ОТВЕТ</t>
  </si>
  <si>
    <t>Не одна идея, а двухтактная конструкция: денежный мотор → актив с выходом.</t>
  </si>
  <si>
    <t>Потому что его задача двойная, и одной идеей она не решается.</t>
  </si>
  <si>
    <t>### ТАКТ 1 (месяцы 0-18). Сделочный бутик: FIN-19 + REA-02 + PRO-11</t>
  </si>
  <si>
    <t>Одна команда, одна методология, три типа мандата — разные регуляторы, разные плательщики:</t>
  </si>
  <si>
    <t>- FIN-19 — советник по ГЧП и проектному финансированию (вузы, медцентры, энергетика).</t>
  </si>
  <si>
    <t>Окно: 08.09.2026 частные инвесторы в крупные вузы и республиканские медцентры; ПП-269.</t>
  </si>
  <si>
    <t>Ретейнер $15-40 тыс./мес + 0.5-1.5% success.</t>
  </si>
  <si>
    <t>- REA-02 — брокер проектного финансирования для застройщиков под эскроу.</t>
  </si>
  <si>
    <t>Окно: с 01.01.2026 долевое строительство только через эскроу и банковское проектное</t>
  </si>
  <si>
    <t>финансирование. Ретейнер $8-20 тыс. + 0.7-1.5% от кредитной линии.</t>
  </si>
  <si>
    <t>- PRO-11 — предпродажная подготовка госактивов. Окно: УП-177 от 28.08.2026,</t>
  </si>
  <si>
    <t>100 трлн сум активов, 62 предприятия на торги в 2026-2027.</t>
  </si>
  <si>
    <t>Капитал: $60-150 тыс. — ровно то, что у него есть.</t>
  </si>
  <si>
    <t>Почему именно он: ACCA + CFA + МСФО (PwC) + налоги (Deloitte) + LLM по банковскому и</t>
  </si>
  <si>
    <t>проектному праву + аттестат I категории + 15 сделок на $250 млн + прямой выход на</t>
  </si>
  <si>
    <t>Kapitalbank и Garant Bank. Это не «похоже на резюме» — это буквально его ремесло,</t>
  </si>
  <si>
    <t>только теперь success fee идёт ему, а не работодателю.</t>
  </si>
  <si>
    <t>Стиль: высокий чек, низкая частота — три-пять мандатов в год вместо десятка советов.</t>
  </si>
  <si>
    <t>Брокер-партнёр закрывает переговоры, консультант-организатор — процесс, инженеры</t>
  </si>
  <si>
    <t>(авиа и стройка) — техническая часть по ГЧП и стройке. Каждый партнёр наконец нужен.</t>
  </si>
  <si>
    <t>### ТАКТ 2 (месяцы 18-48). Управляющая компания: FIN-16 → FIN-17</t>
  </si>
  <si>
    <t>Такт 1 производит две вещи: деньги и пайплайн с LP-отношениями. Такт 2 превращает их</t>
  </si>
  <si>
    <t>в актив. ЗПИФ доходной коммерческой недвижимости (склады B/A, стрит-ритейл) под ЗРУ-1158</t>
  </si>
  <si>
    <t>(в силе 25.07.2026), затем private credit / RBF. $150 тыс. идут в GP-коммитмент.</t>
  </si>
  <si>
    <t>Management fee 1.5-2% на СЧА — это повторяющаяся, переносимая выручка, то есть</t>
  </si>
  <si>
    <t>единственная форма, которую реально покупают. УК с $30-50 млн AUM и трек-рекордом —</t>
  </si>
  <si>
    <t>это и есть «опцион на выход», который он просил: покупатели — региональные AM, банки,</t>
  </si>
  <si>
    <t>управляющие из Залива, PE.</t>
  </si>
  <si>
    <t>### Куда девать исламские финансы — их не выбрасывать, а понизить в статусе</t>
  </si>
  <si>
    <t>CPSS остаётся, но не как бизнес, а как канал дистрибуции внутри такта 2: шариатский</t>
  </si>
  <si>
    <t>ЗПИФ / иджара-книга (наложение FIN-03 на FIN-16) открывает LP-базу Залива и местные</t>
  </si>
  <si>
    <t>религиозные деньги. Плюс одно кресло в шариатском совете как платная побочная позиция</t>
  </si>
  <si>
    <t>($2-6 тыс./мес, несколько дней в месяц): стоит почти ноль, сохраняет опцион, даёт</t>
  </si>
  <si>
    <t>легитимность перед исламскими LP. Сертификат приносит больше денег как признак</t>
  </si>
  <si>
    <t>продавца фонда, чем как товар, продаваемый десяти банкам.</t>
  </si>
  <si>
    <t>### Честное сравнение с рекомендованным</t>
  </si>
  <si>
    <t>Где моя альтернатива ХУЖЕ:</t>
  </si>
  <si>
    <t>- Выручка медленнее и рванее. Success fee бинарен и уезжает на 6-12 месяцев;</t>
  </si>
  <si>
    <t>шариатский ретейнер контрактный с первого месяца. Первые 9-12 месяцев могут быть</t>
  </si>
  <si>
    <t>почти без денег — нужна подушка сверх $150 тыс.</t>
  </si>
  <si>
    <t>- Конкуренция настоящая и сильная. В ГЧП и приватизации это Big4, международные юрфирмы</t>
  </si>
  <si>
    <t>и банки развития — живые, в Ташкенте, с брендом. В шариатском консалтинге конкурентов</t>
  </si>
  <si>
    <t>пока мало (хотя см. Ф2).</t>
  </si>
  <si>
    <t>- Конфликт с работодателем. Это ровно то, чем занимается Orient Group. Non-compete,</t>
  </si>
  <si>
    <t>корпоративные возможности, отношения — всё это придётся разруливать до старта, и это</t>
  </si>
  <si>
    <t>может стоить ему работы. FIN-01 в этом смысле изящен: он не конкурирует с текущим</t>
  </si>
  <si>
    <t>местом. Это реальное, недооценённое преимущество рекомендации, и я его признаю.</t>
  </si>
  <si>
    <t>- 20-30 ч/нед на живом sell-side мандате — нереалистично. В пике сделки это 50+.</t>
  </si>
  <si>
    <t>- Первый фонд может просто не собраться. Retainer-практика почти наверняка «сработает»</t>
  </si>
  <si>
    <t>на маленьком масштабе; фонд — да или нет.</t>
  </si>
  <si>
    <t>Где ЛУЧШЕ:</t>
  </si>
  <si>
    <t>- Рынок больше на порядки и существует сегодня: 62 предприятия на торги, весь сектор</t>
  </si>
  <si>
    <t>жилой застройки под эскроу, ГЧП в вузах и медцентрах — против $1.7 млн исламских</t>
  </si>
  <si>
    <t>услуг и одного «окна».</t>
  </si>
  <si>
    <t>- Выручка на час его времени в 10-50 раз выше. Один success fee ≈ весь пятилетний NPV</t>
  </si>
  <si>
    <t>рекомендованной практики.</t>
  </si>
  <si>
    <t>- Создаётся отчуждаемый актив (AUM, трек-рекорд фонда) вместо персональной лицензии.</t>
  </si>
  <si>
    <t>- Регуляторный риск диверсифицирован по трём независимым источникам мандатов вместо одного</t>
  </si>
  <si>
    <t>закона.</t>
  </si>
  <si>
    <t>- Нулевой религиозный и репутационный риск: ошибка в финмодели — коммерческая неудача,</t>
  </si>
  <si>
    <t>ошибка в фетве — пятно на человеке и семье.</t>
  </si>
  <si>
    <t>- Использует единственный по-настоящему редкий актив — доступ к сделкам и банкам,</t>
  </si>
  <si>
    <t>а не сертификат, который к 2027 году будет обязан иметь каждый член каждого совета.</t>
  </si>
  <si>
    <t>Если из всего надо выбрать один ID: FIN-19 как точка входа (самый высокий чек,</t>
  </si>
  <si>
    <t>самое чистое совпадение с LLM по проектному праву, госзаказчик платит ретейнер даже до</t>
  </si>
  <si>
    <t>success fee), с обязательным обязательством конвертировать пайплайн в FIN-16 к</t>
  </si>
  <si>
    <t>18-му месяцу. Без этого второго шага моя альтернатива страдает ровно той же болезнью,</t>
  </si>
  <si>
    <t>в которой я обвиняю рекомендацию, — это тоже будет практика, а не компания.</t>
  </si>
  <si>
    <t>## 7. Что выглядит как самообман</t>
  </si>
  <si>
    <t>Главное: функция цели не кодирует цель. Дальше всё сделано аккуратно и не по адресу.</t>
  </si>
  <si>
    <t>Человек сказал: «и денежный поток, и опцион на выход». В зафиксированных весах</t>
  </si>
  <si>
    <t>«потенциал выхода» весит 5.6% итога (0.08 × 0.70) — меньше любого другого критерия.</t>
  </si>
  <si>
    <t>Зато «скорость до первого дохода» весит 0.20 внутри B, а «барьеры в нашу пользу» тайком</t>
  </si>
  <si>
    <t>добавляют ещё 8.4 п.п. к оси о нём самом. Система спроектирована отвечать на вопрос</t>
  </si>
  <si>
    <t>«какой бизнес ему больше всего подходит и быстрее всего даст первые деньги?», а он</t>
  </si>
  <si>
    <t>задал вопрос «как превратить мою карьеру в актив, который можно продать?».</t>
  </si>
  <si>
    <t>Три независимых прохода скоринга, поиск завышений скептиком, арбитр — всё это повышает</t>
  </si>
  <si>
    <t>точность внутри неверно заданных весов. Три прохода по кривой линейке не выпрямляют</t>
  </si>
  <si>
    <t>линейку, они только делают тебя уверенным.</t>
  </si>
  <si>
    <t>Два подпирающих самообмана:</t>
  </si>
  <si>
    <t>- Ложная точность. «Выживание 72%», «NPV $570 тыс.», «ставка дисконтирования 19.7%» —</t>
  </si>
  <si>
    <t>три значащие цифры на рынке, где знаменатель считается на пальцах одной руки:</t>
  </si>
  <si>
    <t>1 «окно» в 2026, 2 банка к 2030, 10 к 2030, $1.7 млн совокупной выручки отрасли за</t>
  </si>
  <si>
    <t>полгода. Десятая доля в «19.7%» — и есть улика: точность модели превышает её достоверность</t>
  </si>
  <si>
    <t>примерно в сто раз. Правильный ответ на этом рынке — диапазон в разы, а не число.</t>
  </si>
  <si>
    <t>- Подмена обязанности готовностью платить. «Закон требует шариатский совет» доказывает,</t>
  </si>
  <si>
    <t>что кресла возникнут. Он ничего не доказывает про цену. Обязательная статья расходов</t>
  </si>
  <si>
    <t>покупается по минимальной цене, которая устраивает проверяющего — и такие рынки</t>
  </si>
  <si>
    <t>схлопываются к самому дешёвому соответствующему поставщику очень быстро (а с 2027 года,</t>
  </si>
  <si>
    <t>когда сертификат обязателен всем, предложение сертифицированных людей резко вырастет).</t>
  </si>
  <si>
    <t>В весах для этого есть отдельный критерий — A6 wtp, «доказанная, а не декларируемая».</t>
  </si>
  <si>
    <t>Доказанной готовности платить здесь нет вообще: есть закон, пресс-релизы и намерения.</t>
  </si>
  <si>
    <t>Критерий был в списке и не был применён.</t>
  </si>
  <si>
    <t>И последнее, мелкое, но показательное: обоснование подаёт CPSS как редкое преимущество</t>
  </si>
  <si>
    <t>(«входит в четвёрку принимаемых сертификатов»), тогда как норма с 01.07.2027 обязывает</t>
  </si>
  <si>
    <t>всех членов всех советов иметь такой сертификат. Это не ров — это турникет,</t>
  </si>
  <si>
    <t>через который к 2027 году пройдут все. Преимущество, которое по условию задачи</t>
  </si>
  <si>
    <t>самоликвидируется через девять месяцев, нельзя класть в фундамент пятилетнего плана.</t>
  </si>
  <si>
    <t>### Источники по новым фактам</t>
  </si>
  <si>
    <t>- Состав Совета при ЦБ, требования к членам, арабский язык, AAOIFI с 01.07.2027 —</t>
  </si>
  <si>
    <t>spot.uz (15.07.2026 «При Центробанке Узбекистана создан Совет по исламским финансам.</t>
  </si>
  <si>
    <t>Состав», 21.07.2026 «Кто сможет стать членом банковского совета по исламским финансам»),</t>
  </si>
  <si>
    <t>interfax.ru, podrobno.uz, islam.kz, timesca.com</t>
  </si>
  <si>
    <t>- Связанные лица / квалтребования — blackswan.law, beone-uz.com, kpmg.com (taxnewsflash,</t>
  </si>
  <si>
    <t>05.2026)</t>
  </si>
  <si>
    <t>- 22 млрд сум исламских услуг — spot.uz, 16.06.2026</t>
  </si>
  <si>
    <t>- Одно «окно» в 2026 / два банка 2026-2030 / минимум 10 к 2030 — spot.uz (25.03.2026,</t>
  </si>
  <si>
    <t>24.10.2025), gazeta.uz 25.03.2026, daryo.uz 26.03.2026</t>
  </si>
  <si>
    <t>- Shariyah Review Bureau куплен Al Marjea (10.2025), сумма не раскрыта — crunchbase,</t>
  </si>
  <si>
    <t>cbinsights</t>
  </si>
  <si>
    <t>Достоверность фактов и что обязательно проверить до вложения денег</t>
  </si>
  <si>
    <t>ВАЖНО: сетевая политика среды не дала открыть первоисточники — lex.uz, сайты ЦБ, НАПП, Uzpharm Control, отчёты МВФ и АБР. Работал только веб-поиск, отдающий СВОДКИ, то есть источник вторичный. Поэтому у каждого факта проставлен уровень достоверности.</t>
  </si>
  <si>
    <t>Уровень</t>
  </si>
  <si>
    <t>Что он означает</t>
  </si>
  <si>
    <t>A</t>
  </si>
  <si>
    <t>Несколько независимых сводок сходятся, назван номер документа и дата</t>
  </si>
  <si>
    <t>B</t>
  </si>
  <si>
    <t>Одна сводка, реквизиты документа есть</t>
  </si>
  <si>
    <t>C</t>
  </si>
  <si>
    <t>Одна сводка без реквизитов либо данные противоречат друг другу</t>
  </si>
  <si>
    <t>D</t>
  </si>
  <si>
    <t>Оценка автора, первоисточник не проверялся</t>
  </si>
  <si>
    <t>ОБЯЗАТЕЛЬНО ПРОВЕРИТЬ У ЮРИСТА ПО ОРИГИНАЛАМ ДОКУМЕНТОВ</t>
  </si>
  <si>
    <t>Вопрос</t>
  </si>
  <si>
    <t>Почему это решающее</t>
  </si>
  <si>
    <t>Признаёт ли ЦБ РУз именно сертификат CPSS достаточным для членства в шариатском совете</t>
  </si>
  <si>
    <t>Вся рекомендация стоит на этом. Если нужен полный CSAA — сначала сдать модуль CPSAGE.</t>
  </si>
  <si>
    <t>Есть ли лимит на число шариатских советов, в которых может состоять один человек</t>
  </si>
  <si>
    <t>В Малайзии такой лимит есть. Если он есть и в РУз — потолок выручки резко ниже модельного.</t>
  </si>
  <si>
    <t>Требуется ли членам совета религиозное образование (фикх), а не экономическое</t>
  </si>
  <si>
    <t>Заказчик — финансист, не богослов. Если фикх обязателен — нужен партнёр-улем.</t>
  </si>
  <si>
    <t>Точная дата и переходный период по эскроу в долевом строительстве</t>
  </si>
  <si>
    <t>Источники расходятся: 01.01.2026 против 01.07.2026. Из-за этого идея REA-01 упала с 1-го места.</t>
  </si>
  <si>
    <t>Действующая редакция требований к «исламским окнам» и срок 01.07.2027</t>
  </si>
  <si>
    <t>Срок — главный двигатель спроса. Перенос срока сдвигает всю выручку вправо.</t>
  </si>
  <si>
    <t>Налоговый режим практики: порог упрощёнки в сумах и момент перехода на общий режим</t>
  </si>
  <si>
    <t>В модели порог задан в долларах — это упрощение, реальный порог в сумах и индексируется.</t>
  </si>
</sst>
</file>

<file path=xl/styles.xml><?xml version="1.0" encoding="utf-8"?>
<styleSheet xmlns="http://schemas.openxmlformats.org/spreadsheetml/2006/main">
  <numFmts count="5">
    <numFmt numFmtId="164" formatCode="0.0%"/>
    <numFmt numFmtId="165" formatCode="0.00"/>
    <numFmt numFmtId="166" formatCode="#,##0"/>
    <numFmt numFmtId="167" formatCode="$#,##0;[Red]-$#,##0"/>
    <numFmt numFmtId="168" formatCode="0.0"/>
  </numFmts>
  <fonts count="6">
    <font>
      <sz val="11"/>
      <color theme="1"/>
      <name val="Calibri"/>
      <family val="2"/>
      <scheme val="minor"/>
    </font>
    <font>
      <b/>
      <sz val="16"/>
      <color rgb="FF1F3864"/>
      <name val="Calibri"/>
      <family val="2"/>
      <scheme val="minor"/>
    </font>
    <font>
      <b/>
      <sz val="11"/>
      <color theme="1"/>
      <name val="Calibri"/>
      <family val="2"/>
      <scheme val="minor"/>
    </font>
    <font>
      <b/>
      <sz val="12"/>
      <color rgb="FF1F3864"/>
      <name val="Calibri"/>
      <family val="2"/>
      <scheme val="minor"/>
    </font>
    <font>
      <b/>
      <sz val="11"/>
      <color rgb="FFFFFFFF"/>
      <name val="Calibri"/>
      <family val="2"/>
      <scheme val="minor"/>
    </font>
    <font>
      <i/>
      <sz val="11"/>
      <color rgb="FF555555"/>
      <name val="Calibri"/>
      <family val="2"/>
      <scheme val="minor"/>
    </font>
  </fonts>
  <fills count="7">
    <fill>
      <patternFill patternType="none"/>
    </fill>
    <fill>
      <patternFill patternType="gray125"/>
    </fill>
    <fill>
      <patternFill patternType="solid">
        <fgColor rgb="FF1F3864"/>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rgb="FFD9E2F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0" borderId="0" xfId="0" applyFont="1"/>
    <xf numFmtId="0" fontId="2" fillId="0" borderId="1" xfId="0" applyFont="1" applyBorder="1" applyAlignment="1">
      <alignment vertical="top" wrapText="1"/>
    </xf>
    <xf numFmtId="0" fontId="0" fillId="0" borderId="1" xfId="0" applyBorder="1" applyAlignment="1">
      <alignment vertical="top" wrapText="1"/>
    </xf>
    <xf numFmtId="0" fontId="3" fillId="0" borderId="0" xfId="0" applyFont="1"/>
    <xf numFmtId="0" fontId="4" fillId="2" borderId="1" xfId="0" applyFont="1" applyFill="1" applyBorder="1" applyAlignment="1">
      <alignment horizontal="center" vertical="center" wrapText="1"/>
    </xf>
    <xf numFmtId="0" fontId="5" fillId="0" borderId="0" xfId="0" applyFont="1" applyAlignment="1">
      <alignment vertical="top" wrapText="1"/>
    </xf>
    <xf numFmtId="164" fontId="0" fillId="0" borderId="1" xfId="0" applyNumberFormat="1" applyBorder="1"/>
    <xf numFmtId="165" fontId="0" fillId="3" borderId="1" xfId="0" applyNumberFormat="1" applyFill="1" applyBorder="1"/>
    <xf numFmtId="165" fontId="0" fillId="4" borderId="1" xfId="0" applyNumberFormat="1" applyFill="1" applyBorder="1"/>
    <xf numFmtId="165" fontId="0" fillId="5" borderId="1" xfId="0" applyNumberFormat="1" applyFill="1" applyBorder="1"/>
    <xf numFmtId="165" fontId="0" fillId="0" borderId="1" xfId="0" applyNumberFormat="1" applyBorder="1"/>
    <xf numFmtId="0" fontId="2" fillId="6" borderId="1" xfId="0" applyFont="1" applyFill="1" applyBorder="1" applyAlignment="1">
      <alignment vertical="top" wrapText="1"/>
    </xf>
    <xf numFmtId="166" fontId="0" fillId="0" borderId="1" xfId="0" applyNumberFormat="1" applyBorder="1"/>
    <xf numFmtId="167" fontId="0" fillId="0" borderId="1" xfId="0" applyNumberFormat="1" applyBorder="1"/>
    <xf numFmtId="168" fontId="0" fillId="0" borderId="1" xfId="0" applyNumberFormat="1" applyBorder="1"/>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Выручка и EBITDA по месяцам (медиана выживших)</a:t>
            </a:r>
          </a:p>
        </c:rich>
      </c:tx>
      <c:layout/>
    </c:title>
    <c:plotArea>
      <c:layout/>
      <c:lineChart>
        <c:grouping val="standard"/>
        <c:ser>
          <c:idx val="0"/>
          <c:order val="0"/>
          <c:tx>
            <c:v>Выручка, медиана</c:v>
          </c:tx>
          <c:spPr>
            <a:ln w="25400">
              <a:solidFill>
                <a:srgbClr val="1F3864"/>
              </a:solidFill>
            </a:ln>
          </c:spPr>
          <c:marker>
            <c:symbol val="none"/>
          </c:marker>
          <c:cat>
            <c:numRef>
              <c:f>'08 Помесячная модель'!$A$3:$A$62</c:f>
              <c:numCache>
                <c:formatCode>General</c:formatCod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numCache>
            </c:numRef>
          </c:cat>
          <c:val>
            <c:numRef>
              <c:f>'08 Помесячная модель'!$E$3:$E$62</c:f>
              <c:numCache>
                <c:formatCode>General</c:formatCode>
                <c:ptCount val="60"/>
                <c:pt idx="0">
                  <c:v>0</c:v>
                </c:pt>
                <c:pt idx="1">
                  <c:v>0</c:v>
                </c:pt>
                <c:pt idx="2">
                  <c:v>0</c:v>
                </c:pt>
                <c:pt idx="3">
                  <c:v>0</c:v>
                </c:pt>
                <c:pt idx="4">
                  <c:v>0</c:v>
                </c:pt>
                <c:pt idx="5">
                  <c:v>0</c:v>
                </c:pt>
                <c:pt idx="6">
                  <c:v>0</c:v>
                </c:pt>
                <c:pt idx="7">
                  <c:v>351.5310771631537</c:v>
                </c:pt>
                <c:pt idx="8">
                  <c:v>778.0292656987496</c:v>
                </c:pt>
                <c:pt idx="9">
                  <c:v>1269.003117497395</c:v>
                </c:pt>
                <c:pt idx="10">
                  <c:v>1769.264132656703</c:v>
                </c:pt>
                <c:pt idx="11">
                  <c:v>2276.192483623456</c:v>
                </c:pt>
                <c:pt idx="12">
                  <c:v>2760.634293194245</c:v>
                </c:pt>
                <c:pt idx="13">
                  <c:v>3214.148663713644</c:v>
                </c:pt>
                <c:pt idx="14">
                  <c:v>3645.921720419035</c:v>
                </c:pt>
                <c:pt idx="15">
                  <c:v>4061.740150319982</c:v>
                </c:pt>
                <c:pt idx="16">
                  <c:v>4464.660857650768</c:v>
                </c:pt>
                <c:pt idx="17">
                  <c:v>4849.192981700323</c:v>
                </c:pt>
                <c:pt idx="18">
                  <c:v>5234.4495793443</c:v>
                </c:pt>
                <c:pt idx="19">
                  <c:v>10378.68487659405</c:v>
                </c:pt>
                <c:pt idx="20">
                  <c:v>11073.47714581622</c:v>
                </c:pt>
                <c:pt idx="21">
                  <c:v>11756.10023074055</c:v>
                </c:pt>
                <c:pt idx="22">
                  <c:v>12384.092530014</c:v>
                </c:pt>
                <c:pt idx="23">
                  <c:v>13060.33303894774</c:v>
                </c:pt>
                <c:pt idx="24">
                  <c:v>13708.82667335438</c:v>
                </c:pt>
                <c:pt idx="25">
                  <c:v>14343.91883531502</c:v>
                </c:pt>
                <c:pt idx="26">
                  <c:v>14999.11306488604</c:v>
                </c:pt>
                <c:pt idx="27">
                  <c:v>15703.29005633583</c:v>
                </c:pt>
                <c:pt idx="28">
                  <c:v>16417.40784233792</c:v>
                </c:pt>
                <c:pt idx="29">
                  <c:v>17200.20436274248</c:v>
                </c:pt>
                <c:pt idx="30">
                  <c:v>17966.04254283018</c:v>
                </c:pt>
                <c:pt idx="31">
                  <c:v>18786.29366432445</c:v>
                </c:pt>
                <c:pt idx="32">
                  <c:v>19558.73231155958</c:v>
                </c:pt>
                <c:pt idx="33">
                  <c:v>20319.83130196775</c:v>
                </c:pt>
                <c:pt idx="34">
                  <c:v>21123.08647382875</c:v>
                </c:pt>
                <c:pt idx="35">
                  <c:v>22004.91441688087</c:v>
                </c:pt>
                <c:pt idx="36">
                  <c:v>22852.96718377806</c:v>
                </c:pt>
                <c:pt idx="37">
                  <c:v>23721.24132492222</c:v>
                </c:pt>
                <c:pt idx="38">
                  <c:v>24649.4304131654</c:v>
                </c:pt>
                <c:pt idx="39">
                  <c:v>25548.5178405983</c:v>
                </c:pt>
                <c:pt idx="40">
                  <c:v>26548.8324420916</c:v>
                </c:pt>
                <c:pt idx="41">
                  <c:v>27654.46251643037</c:v>
                </c:pt>
                <c:pt idx="42">
                  <c:v>28736.12633713577</c:v>
                </c:pt>
                <c:pt idx="43">
                  <c:v>29812.91958034921</c:v>
                </c:pt>
                <c:pt idx="44">
                  <c:v>30974.22345998185</c:v>
                </c:pt>
                <c:pt idx="45">
                  <c:v>32298.33434706431</c:v>
                </c:pt>
                <c:pt idx="46">
                  <c:v>33444.92251961838</c:v>
                </c:pt>
                <c:pt idx="47">
                  <c:v>34942.0237783333</c:v>
                </c:pt>
                <c:pt idx="48">
                  <c:v>36252.66937055575</c:v>
                </c:pt>
                <c:pt idx="49">
                  <c:v>37582.73211368224</c:v>
                </c:pt>
                <c:pt idx="50">
                  <c:v>38982.65520314579</c:v>
                </c:pt>
                <c:pt idx="51">
                  <c:v>40567.86860549113</c:v>
                </c:pt>
                <c:pt idx="52">
                  <c:v>41847.98884092916</c:v>
                </c:pt>
                <c:pt idx="53">
                  <c:v>43502.74019070444</c:v>
                </c:pt>
                <c:pt idx="54">
                  <c:v>44925.73483463348</c:v>
                </c:pt>
                <c:pt idx="55">
                  <c:v>46654.19770299875</c:v>
                </c:pt>
                <c:pt idx="56">
                  <c:v>48603.03242363509</c:v>
                </c:pt>
                <c:pt idx="57">
                  <c:v>50240.76193646943</c:v>
                </c:pt>
                <c:pt idx="58">
                  <c:v>52015.86763697862</c:v>
                </c:pt>
                <c:pt idx="59">
                  <c:v>53920.18009722037</c:v>
                </c:pt>
              </c:numCache>
            </c:numRef>
          </c:val>
        </c:ser>
        <c:ser>
          <c:idx val="1"/>
          <c:order val="1"/>
          <c:tx>
            <c:v>EBITDA, медиана</c:v>
          </c:tx>
          <c:spPr>
            <a:ln w="25400">
              <a:solidFill>
                <a:srgbClr val="2E7D32"/>
              </a:solidFill>
            </a:ln>
          </c:spPr>
          <c:marker>
            <c:symbol val="none"/>
          </c:marker>
          <c:cat>
            <c:numRef>
              <c:f>'08 Помесячная модель'!$A$3:$A$62</c:f>
              <c:numCache>
                <c:formatCode>General</c:formatCod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numCache>
            </c:numRef>
          </c:cat>
          <c:val>
            <c:numRef>
              <c:f>'08 Помесячная модель'!$H$3:$H$62</c:f>
              <c:numCache>
                <c:formatCode>General</c:formatCode>
                <c:ptCount val="60"/>
                <c:pt idx="0">
                  <c:v>-2435.321438511749</c:v>
                </c:pt>
                <c:pt idx="1">
                  <c:v>-3230.870281734736</c:v>
                </c:pt>
                <c:pt idx="2">
                  <c:v>-4028.79418311581</c:v>
                </c:pt>
                <c:pt idx="3">
                  <c:v>-4029.825440689876</c:v>
                </c:pt>
                <c:pt idx="4">
                  <c:v>-4007.171926813994</c:v>
                </c:pt>
                <c:pt idx="5">
                  <c:v>-3950.353624622405</c:v>
                </c:pt>
                <c:pt idx="6">
                  <c:v>-3837.034605946355</c:v>
                </c:pt>
                <c:pt idx="7">
                  <c:v>-3673.590407830972</c:v>
                </c:pt>
                <c:pt idx="8">
                  <c:v>-3458.165680499226</c:v>
                </c:pt>
                <c:pt idx="9">
                  <c:v>-3197.875873025801</c:v>
                </c:pt>
                <c:pt idx="10">
                  <c:v>-2913.480486459742</c:v>
                </c:pt>
                <c:pt idx="11">
                  <c:v>-2630.795080318702</c:v>
                </c:pt>
                <c:pt idx="12">
                  <c:v>-2360.146552279924</c:v>
                </c:pt>
                <c:pt idx="13">
                  <c:v>-2104.376239389177</c:v>
                </c:pt>
                <c:pt idx="14">
                  <c:v>-1857.603498746744</c:v>
                </c:pt>
                <c:pt idx="15">
                  <c:v>-1629.345634616537</c:v>
                </c:pt>
                <c:pt idx="16">
                  <c:v>-1426.7089045984</c:v>
                </c:pt>
                <c:pt idx="17">
                  <c:v>-1215.764156771778</c:v>
                </c:pt>
                <c:pt idx="18">
                  <c:v>-1040.346030439663</c:v>
                </c:pt>
                <c:pt idx="19">
                  <c:v>1827.829775905631</c:v>
                </c:pt>
                <c:pt idx="20">
                  <c:v>2130.154838752633</c:v>
                </c:pt>
                <c:pt idx="21">
                  <c:v>2438.202714602461</c:v>
                </c:pt>
                <c:pt idx="22">
                  <c:v>2750.67490409182</c:v>
                </c:pt>
                <c:pt idx="23">
                  <c:v>3029.751708387296</c:v>
                </c:pt>
                <c:pt idx="24">
                  <c:v>3300.354303306791</c:v>
                </c:pt>
                <c:pt idx="25">
                  <c:v>3540.8626210559</c:v>
                </c:pt>
                <c:pt idx="26">
                  <c:v>3840.881962364761</c:v>
                </c:pt>
                <c:pt idx="27">
                  <c:v>4135.875466979176</c:v>
                </c:pt>
                <c:pt idx="28">
                  <c:v>4429.829910153061</c:v>
                </c:pt>
                <c:pt idx="29">
                  <c:v>4788.451995798398</c:v>
                </c:pt>
                <c:pt idx="30">
                  <c:v>5097.455445757826</c:v>
                </c:pt>
                <c:pt idx="31">
                  <c:v>5453.684278025507</c:v>
                </c:pt>
                <c:pt idx="32">
                  <c:v>5790.55294164839</c:v>
                </c:pt>
                <c:pt idx="33">
                  <c:v>6229.701309510376</c:v>
                </c:pt>
                <c:pt idx="34">
                  <c:v>6580.414568702727</c:v>
                </c:pt>
                <c:pt idx="35">
                  <c:v>7033.042941155136</c:v>
                </c:pt>
                <c:pt idx="36">
                  <c:v>7410.543091457123</c:v>
                </c:pt>
                <c:pt idx="37">
                  <c:v>7873.758624490036</c:v>
                </c:pt>
                <c:pt idx="38">
                  <c:v>8335.871199720794</c:v>
                </c:pt>
                <c:pt idx="39">
                  <c:v>8843.421419551361</c:v>
                </c:pt>
                <c:pt idx="40">
                  <c:v>9404.93586962187</c:v>
                </c:pt>
                <c:pt idx="41">
                  <c:v>9880.270685320658</c:v>
                </c:pt>
                <c:pt idx="42">
                  <c:v>10364.09989148615</c:v>
                </c:pt>
                <c:pt idx="43">
                  <c:v>10965.43423912294</c:v>
                </c:pt>
                <c:pt idx="44">
                  <c:v>11522.55711800724</c:v>
                </c:pt>
                <c:pt idx="45">
                  <c:v>12068.27668477498</c:v>
                </c:pt>
                <c:pt idx="46">
                  <c:v>12710.9801345595</c:v>
                </c:pt>
                <c:pt idx="47">
                  <c:v>13353.47045006959</c:v>
                </c:pt>
                <c:pt idx="48">
                  <c:v>14038.1559902465</c:v>
                </c:pt>
                <c:pt idx="49">
                  <c:v>14733.08329330403</c:v>
                </c:pt>
                <c:pt idx="50">
                  <c:v>15381.79114980191</c:v>
                </c:pt>
                <c:pt idx="51">
                  <c:v>16028.31693785237</c:v>
                </c:pt>
                <c:pt idx="52">
                  <c:v>16649.04675534227</c:v>
                </c:pt>
                <c:pt idx="53">
                  <c:v>17409.68996863947</c:v>
                </c:pt>
                <c:pt idx="54">
                  <c:v>18164.90805972989</c:v>
                </c:pt>
                <c:pt idx="55">
                  <c:v>18992.5176333233</c:v>
                </c:pt>
                <c:pt idx="56">
                  <c:v>19920.86830059402</c:v>
                </c:pt>
                <c:pt idx="57">
                  <c:v>20747.67122205991</c:v>
                </c:pt>
                <c:pt idx="58">
                  <c:v>21512.16485817628</c:v>
                </c:pt>
                <c:pt idx="59">
                  <c:v>22428.7985235546</c:v>
                </c:pt>
              </c:numCache>
            </c:numRef>
          </c:val>
        </c:ser>
        <c:marker val="1"/>
        <c:axId val="50010001"/>
        <c:axId val="50010002"/>
      </c:lineChart>
      <c:catAx>
        <c:axId val="50010001"/>
        <c:scaling>
          <c:orientation val="minMax"/>
        </c:scaling>
        <c:axPos val="b"/>
        <c:title>
          <c:tx>
            <c:rich>
              <a:bodyPr/>
              <a:lstStyle/>
              <a:p>
                <a:pPr>
                  <a:defRPr/>
                </a:pPr>
                <a:r>
                  <a:rPr lang="en-US"/>
                  <a:t>Месяц</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USD в месяц</a:t>
                </a:r>
              </a:p>
            </c:rich>
          </c:tx>
          <c:layout/>
        </c:title>
        <c:numFmt formatCode="General" sourceLinked="1"/>
        <c:tickLblPos val="nextTo"/>
        <c:crossAx val="50010001"/>
        <c:crosses val="autoZero"/>
        <c:crossBetween val="between"/>
      </c:valAx>
    </c:plotArea>
    <c:legend>
      <c:legendPos val="r"/>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Доля выживших по месяцам</a:t>
            </a:r>
          </a:p>
        </c:rich>
      </c:tx>
      <c:layout/>
    </c:title>
    <c:plotArea>
      <c:layout/>
      <c:lineChart>
        <c:grouping val="standard"/>
        <c:ser>
          <c:idx val="0"/>
          <c:order val="0"/>
          <c:tx>
            <c:v>Доля выживших</c:v>
          </c:tx>
          <c:spPr>
            <a:ln w="25400">
              <a:solidFill>
                <a:srgbClr val="B71C1C"/>
              </a:solidFill>
            </a:ln>
          </c:spPr>
          <c:marker>
            <c:symbol val="none"/>
          </c:marker>
          <c:cat>
            <c:numRef>
              <c:f>'08 Помесячная модель'!$A$3:$A$62</c:f>
              <c:numCache>
                <c:formatCode>General</c:formatCod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numCache>
            </c:numRef>
          </c:cat>
          <c:val>
            <c:numRef>
              <c:f>'08 Помесячная модель'!$B$3:$B$62</c:f>
              <c:numCache>
                <c:formatCode>General</c:formatCode>
                <c:ptCount val="60"/>
                <c:pt idx="0">
                  <c:v>1</c:v>
                </c:pt>
                <c:pt idx="1">
                  <c:v>1</c:v>
                </c:pt>
                <c:pt idx="2">
                  <c:v>1</c:v>
                </c:pt>
                <c:pt idx="3">
                  <c:v>1</c:v>
                </c:pt>
                <c:pt idx="4">
                  <c:v>1</c:v>
                </c:pt>
                <c:pt idx="5">
                  <c:v>0.9982</c:v>
                </c:pt>
                <c:pt idx="6">
                  <c:v>0.98695</c:v>
                </c:pt>
                <c:pt idx="7">
                  <c:v>0.9652500000000001</c:v>
                </c:pt>
                <c:pt idx="8">
                  <c:v>0.9329499999999999</c:v>
                </c:pt>
                <c:pt idx="9">
                  <c:v>0.90355</c:v>
                </c:pt>
                <c:pt idx="10">
                  <c:v>0.8828</c:v>
                </c:pt>
                <c:pt idx="11">
                  <c:v>0.86865</c:v>
                </c:pt>
                <c:pt idx="12">
                  <c:v>0.862</c:v>
                </c:pt>
                <c:pt idx="13">
                  <c:v>0.8611</c:v>
                </c:pt>
                <c:pt idx="14">
                  <c:v>0.8611</c:v>
                </c:pt>
                <c:pt idx="15">
                  <c:v>0.8611</c:v>
                </c:pt>
                <c:pt idx="16">
                  <c:v>0.86095</c:v>
                </c:pt>
                <c:pt idx="17">
                  <c:v>0.86075</c:v>
                </c:pt>
                <c:pt idx="18">
                  <c:v>0.8598</c:v>
                </c:pt>
                <c:pt idx="19">
                  <c:v>0.3197</c:v>
                </c:pt>
                <c:pt idx="20">
                  <c:v>0.31635</c:v>
                </c:pt>
                <c:pt idx="21">
                  <c:v>0.31315</c:v>
                </c:pt>
                <c:pt idx="22">
                  <c:v>0.3106</c:v>
                </c:pt>
                <c:pt idx="23">
                  <c:v>0.30865</c:v>
                </c:pt>
                <c:pt idx="24">
                  <c:v>0.3074</c:v>
                </c:pt>
                <c:pt idx="25">
                  <c:v>0.3063</c:v>
                </c:pt>
                <c:pt idx="26">
                  <c:v>0.30595</c:v>
                </c:pt>
                <c:pt idx="27">
                  <c:v>0.30575</c:v>
                </c:pt>
                <c:pt idx="28">
                  <c:v>0.3057</c:v>
                </c:pt>
                <c:pt idx="29">
                  <c:v>0.30555</c:v>
                </c:pt>
                <c:pt idx="30">
                  <c:v>0.30555</c:v>
                </c:pt>
                <c:pt idx="31">
                  <c:v>0.30555</c:v>
                </c:pt>
                <c:pt idx="32">
                  <c:v>0.30555</c:v>
                </c:pt>
                <c:pt idx="33">
                  <c:v>0.30555</c:v>
                </c:pt>
                <c:pt idx="34">
                  <c:v>0.30555</c:v>
                </c:pt>
                <c:pt idx="35">
                  <c:v>0.30555</c:v>
                </c:pt>
                <c:pt idx="36">
                  <c:v>0.30555</c:v>
                </c:pt>
                <c:pt idx="37">
                  <c:v>0.30555</c:v>
                </c:pt>
                <c:pt idx="38">
                  <c:v>0.30555</c:v>
                </c:pt>
                <c:pt idx="39">
                  <c:v>0.30555</c:v>
                </c:pt>
                <c:pt idx="40">
                  <c:v>0.30555</c:v>
                </c:pt>
                <c:pt idx="41">
                  <c:v>0.30555</c:v>
                </c:pt>
                <c:pt idx="42">
                  <c:v>0.30555</c:v>
                </c:pt>
                <c:pt idx="43">
                  <c:v>0.30555</c:v>
                </c:pt>
                <c:pt idx="44">
                  <c:v>0.30555</c:v>
                </c:pt>
                <c:pt idx="45">
                  <c:v>0.30555</c:v>
                </c:pt>
                <c:pt idx="46">
                  <c:v>0.30555</c:v>
                </c:pt>
                <c:pt idx="47">
                  <c:v>0.30555</c:v>
                </c:pt>
                <c:pt idx="48">
                  <c:v>0.30555</c:v>
                </c:pt>
                <c:pt idx="49">
                  <c:v>0.30555</c:v>
                </c:pt>
                <c:pt idx="50">
                  <c:v>0.30555</c:v>
                </c:pt>
                <c:pt idx="51">
                  <c:v>0.30555</c:v>
                </c:pt>
                <c:pt idx="52">
                  <c:v>0.30555</c:v>
                </c:pt>
                <c:pt idx="53">
                  <c:v>0.30555</c:v>
                </c:pt>
                <c:pt idx="54">
                  <c:v>0.30555</c:v>
                </c:pt>
                <c:pt idx="55">
                  <c:v>0.30555</c:v>
                </c:pt>
                <c:pt idx="56">
                  <c:v>0.30555</c:v>
                </c:pt>
                <c:pt idx="57">
                  <c:v>0.30555</c:v>
                </c:pt>
                <c:pt idx="58">
                  <c:v>0.30555</c:v>
                </c:pt>
                <c:pt idx="59">
                  <c:v>0.30555</c:v>
                </c:pt>
              </c:numCache>
            </c:numRef>
          </c:val>
        </c:ser>
        <c:marker val="1"/>
        <c:axId val="50020001"/>
        <c:axId val="50020002"/>
      </c:lineChart>
      <c:catAx>
        <c:axId val="50020001"/>
        <c:scaling>
          <c:orientation val="minMax"/>
        </c:scaling>
        <c:axPos val="b"/>
        <c:title>
          <c:tx>
            <c:rich>
              <a:bodyPr/>
              <a:lstStyle/>
              <a:p>
                <a:pPr>
                  <a:defRPr/>
                </a:pPr>
                <a:r>
                  <a:rPr lang="en-US"/>
                  <a:t>Месяц</a:t>
                </a:r>
              </a:p>
            </c:rich>
          </c:tx>
          <c:layout/>
        </c:title>
        <c:numFmt formatCode="General" sourceLinked="1"/>
        <c:tickLblPos val="nextTo"/>
        <c:crossAx val="50020002"/>
        <c:crosses val="autoZero"/>
        <c:auto val="1"/>
        <c:lblAlgn val="ctr"/>
        <c:lblOffset val="100"/>
      </c:catAx>
      <c:valAx>
        <c:axId val="50020002"/>
        <c:scaling>
          <c:orientation val="minMax"/>
          <c:max val="1"/>
        </c:scaling>
        <c:axPos val="l"/>
        <c:majorGridlines/>
        <c:title>
          <c:tx>
            <c:rich>
              <a:bodyPr rot="-5400000" vert="horz"/>
              <a:lstStyle/>
              <a:p>
                <a:pPr>
                  <a:defRPr/>
                </a:pPr>
                <a:r>
                  <a:rPr lang="en-US"/>
                  <a:t>Доля</a:t>
                </a:r>
              </a:p>
            </c:rich>
          </c:tx>
          <c:layout/>
        </c:title>
        <c:numFmt formatCode="General" sourceLinked="1"/>
        <c:tickLblPos val="nextTo"/>
        <c:crossAx val="50020001"/>
        <c:crosses val="autoZero"/>
        <c:crossBetween val="between"/>
      </c:valAx>
    </c:plotArea>
    <c:legend>
      <c:legendPos val="r"/>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Распределение NPV, 20 000 прогонов</a:t>
            </a:r>
          </a:p>
        </c:rich>
      </c:tx>
      <c:layout/>
    </c:title>
    <c:plotArea>
      <c:layout/>
      <c:barChart>
        <c:barDir val="col"/>
        <c:grouping val="clustered"/>
        <c:ser>
          <c:idx val="0"/>
          <c:order val="0"/>
          <c:tx>
            <c:v>Число прогонов</c:v>
          </c:tx>
          <c:spPr>
            <a:solidFill>
              <a:srgbClr val="1F3864"/>
            </a:solidFill>
          </c:spPr>
          <c:cat>
            <c:numRef>
              <c:f>'09 Распределение NPV'!$A$25:$A$84</c:f>
              <c:numCache>
                <c:formatCode>General</c:formatCode>
                <c:ptCount val="60"/>
                <c:pt idx="0">
                  <c:v>-96720.94300720849</c:v>
                </c:pt>
                <c:pt idx="1">
                  <c:v>-27868.49018355791</c:v>
                </c:pt>
                <c:pt idx="2">
                  <c:v>40983.96264009266</c:v>
                </c:pt>
                <c:pt idx="3">
                  <c:v>109836.4154637432</c:v>
                </c:pt>
                <c:pt idx="4">
                  <c:v>178688.8682873938</c:v>
                </c:pt>
                <c:pt idx="5">
                  <c:v>247541.3211110444</c:v>
                </c:pt>
                <c:pt idx="6">
                  <c:v>316393.7739346949</c:v>
                </c:pt>
                <c:pt idx="7">
                  <c:v>385246.2267583455</c:v>
                </c:pt>
                <c:pt idx="8">
                  <c:v>454098.6795819961</c:v>
                </c:pt>
                <c:pt idx="9">
                  <c:v>522951.1324056466</c:v>
                </c:pt>
                <c:pt idx="10">
                  <c:v>591803.5852292972</c:v>
                </c:pt>
                <c:pt idx="11">
                  <c:v>660656.0380529477</c:v>
                </c:pt>
                <c:pt idx="12">
                  <c:v>729508.4908765984</c:v>
                </c:pt>
                <c:pt idx="13">
                  <c:v>798360.943700249</c:v>
                </c:pt>
                <c:pt idx="14">
                  <c:v>867213.3965238995</c:v>
                </c:pt>
                <c:pt idx="15">
                  <c:v>936065.8493475501</c:v>
                </c:pt>
                <c:pt idx="16">
                  <c:v>1004918.302171201</c:v>
                </c:pt>
                <c:pt idx="17">
                  <c:v>1073770.754994851</c:v>
                </c:pt>
                <c:pt idx="18">
                  <c:v>1142623.207818502</c:v>
                </c:pt>
                <c:pt idx="19">
                  <c:v>1211475.660642152</c:v>
                </c:pt>
                <c:pt idx="20">
                  <c:v>1280328.113465803</c:v>
                </c:pt>
                <c:pt idx="21">
                  <c:v>1349180.566289454</c:v>
                </c:pt>
                <c:pt idx="22">
                  <c:v>1418033.019113104</c:v>
                </c:pt>
                <c:pt idx="23">
                  <c:v>1486885.471936755</c:v>
                </c:pt>
                <c:pt idx="24">
                  <c:v>1555737.924760405</c:v>
                </c:pt>
                <c:pt idx="25">
                  <c:v>1624590.377584056</c:v>
                </c:pt>
                <c:pt idx="26">
                  <c:v>1693442.830407707</c:v>
                </c:pt>
                <c:pt idx="27">
                  <c:v>1762295.283231357</c:v>
                </c:pt>
                <c:pt idx="28">
                  <c:v>1831147.736055008</c:v>
                </c:pt>
                <c:pt idx="29">
                  <c:v>1900000.188878658</c:v>
                </c:pt>
                <c:pt idx="30">
                  <c:v>1968852.641702309</c:v>
                </c:pt>
                <c:pt idx="31">
                  <c:v>2037705.094525959</c:v>
                </c:pt>
                <c:pt idx="32">
                  <c:v>2106557.54734961</c:v>
                </c:pt>
                <c:pt idx="33">
                  <c:v>2175410.00017326</c:v>
                </c:pt>
                <c:pt idx="34">
                  <c:v>2244262.452996911</c:v>
                </c:pt>
                <c:pt idx="35">
                  <c:v>2313114.905820562</c:v>
                </c:pt>
                <c:pt idx="36">
                  <c:v>2381967.358644212</c:v>
                </c:pt>
                <c:pt idx="37">
                  <c:v>2450819.811467863</c:v>
                </c:pt>
                <c:pt idx="38">
                  <c:v>2519672.264291513</c:v>
                </c:pt>
                <c:pt idx="39">
                  <c:v>2588524.717115164</c:v>
                </c:pt>
                <c:pt idx="40">
                  <c:v>2657377.169938814</c:v>
                </c:pt>
                <c:pt idx="41">
                  <c:v>2726229.622762465</c:v>
                </c:pt>
                <c:pt idx="42">
                  <c:v>2795082.075586115</c:v>
                </c:pt>
                <c:pt idx="43">
                  <c:v>2863934.528409766</c:v>
                </c:pt>
                <c:pt idx="44">
                  <c:v>2932786.981233416</c:v>
                </c:pt>
                <c:pt idx="45">
                  <c:v>3001639.434057067</c:v>
                </c:pt>
                <c:pt idx="46">
                  <c:v>3070491.886880717</c:v>
                </c:pt>
                <c:pt idx="47">
                  <c:v>3139344.339704368</c:v>
                </c:pt>
                <c:pt idx="48">
                  <c:v>3208196.792528019</c:v>
                </c:pt>
                <c:pt idx="49">
                  <c:v>3277049.245351669</c:v>
                </c:pt>
                <c:pt idx="50">
                  <c:v>3345901.69817532</c:v>
                </c:pt>
                <c:pt idx="51">
                  <c:v>3414754.15099897</c:v>
                </c:pt>
                <c:pt idx="52">
                  <c:v>3483606.603822622</c:v>
                </c:pt>
                <c:pt idx="53">
                  <c:v>3552459.056646272</c:v>
                </c:pt>
                <c:pt idx="54">
                  <c:v>3621311.509469923</c:v>
                </c:pt>
                <c:pt idx="55">
                  <c:v>3690163.962293573</c:v>
                </c:pt>
                <c:pt idx="56">
                  <c:v>3759016.415117224</c:v>
                </c:pt>
                <c:pt idx="57">
                  <c:v>3827868.867940874</c:v>
                </c:pt>
                <c:pt idx="58">
                  <c:v>3896721.320764525</c:v>
                </c:pt>
                <c:pt idx="59">
                  <c:v>3965573.773588175</c:v>
                </c:pt>
              </c:numCache>
            </c:numRef>
          </c:cat>
          <c:val>
            <c:numRef>
              <c:f>'09 Распределение NPV'!$B$25:$B$84</c:f>
              <c:numCache>
                <c:formatCode>General</c:formatCode>
                <c:ptCount val="60"/>
                <c:pt idx="0">
                  <c:v>12099</c:v>
                </c:pt>
                <c:pt idx="1">
                  <c:v>2189</c:v>
                </c:pt>
                <c:pt idx="2">
                  <c:v>796</c:v>
                </c:pt>
                <c:pt idx="3">
                  <c:v>681</c:v>
                </c:pt>
                <c:pt idx="4">
                  <c:v>491</c:v>
                </c:pt>
                <c:pt idx="5">
                  <c:v>443</c:v>
                </c:pt>
                <c:pt idx="6">
                  <c:v>335</c:v>
                </c:pt>
                <c:pt idx="7">
                  <c:v>242</c:v>
                </c:pt>
                <c:pt idx="8">
                  <c:v>233</c:v>
                </c:pt>
                <c:pt idx="9">
                  <c:v>183</c:v>
                </c:pt>
                <c:pt idx="10">
                  <c:v>177</c:v>
                </c:pt>
                <c:pt idx="11">
                  <c:v>141</c:v>
                </c:pt>
                <c:pt idx="12">
                  <c:v>146</c:v>
                </c:pt>
                <c:pt idx="13">
                  <c:v>104</c:v>
                </c:pt>
                <c:pt idx="14">
                  <c:v>88</c:v>
                </c:pt>
                <c:pt idx="15">
                  <c:v>69</c:v>
                </c:pt>
                <c:pt idx="16">
                  <c:v>88</c:v>
                </c:pt>
                <c:pt idx="17">
                  <c:v>81</c:v>
                </c:pt>
                <c:pt idx="18">
                  <c:v>70</c:v>
                </c:pt>
                <c:pt idx="19">
                  <c:v>82</c:v>
                </c:pt>
                <c:pt idx="20">
                  <c:v>62</c:v>
                </c:pt>
                <c:pt idx="21">
                  <c:v>50</c:v>
                </c:pt>
                <c:pt idx="22">
                  <c:v>54</c:v>
                </c:pt>
                <c:pt idx="23">
                  <c:v>42</c:v>
                </c:pt>
                <c:pt idx="24">
                  <c:v>43</c:v>
                </c:pt>
                <c:pt idx="25">
                  <c:v>41</c:v>
                </c:pt>
                <c:pt idx="26">
                  <c:v>46</c:v>
                </c:pt>
                <c:pt idx="27">
                  <c:v>45</c:v>
                </c:pt>
                <c:pt idx="28">
                  <c:v>50</c:v>
                </c:pt>
                <c:pt idx="29">
                  <c:v>40</c:v>
                </c:pt>
                <c:pt idx="30">
                  <c:v>42</c:v>
                </c:pt>
                <c:pt idx="31">
                  <c:v>31</c:v>
                </c:pt>
                <c:pt idx="32">
                  <c:v>34</c:v>
                </c:pt>
                <c:pt idx="33">
                  <c:v>33</c:v>
                </c:pt>
                <c:pt idx="34">
                  <c:v>27</c:v>
                </c:pt>
                <c:pt idx="35">
                  <c:v>30</c:v>
                </c:pt>
                <c:pt idx="36">
                  <c:v>18</c:v>
                </c:pt>
                <c:pt idx="37">
                  <c:v>18</c:v>
                </c:pt>
                <c:pt idx="38">
                  <c:v>24</c:v>
                </c:pt>
                <c:pt idx="39">
                  <c:v>21</c:v>
                </c:pt>
                <c:pt idx="40">
                  <c:v>31</c:v>
                </c:pt>
                <c:pt idx="41">
                  <c:v>21</c:v>
                </c:pt>
                <c:pt idx="42">
                  <c:v>24</c:v>
                </c:pt>
                <c:pt idx="43">
                  <c:v>24</c:v>
                </c:pt>
                <c:pt idx="44">
                  <c:v>22</c:v>
                </c:pt>
                <c:pt idx="45">
                  <c:v>18</c:v>
                </c:pt>
                <c:pt idx="46">
                  <c:v>17</c:v>
                </c:pt>
                <c:pt idx="47">
                  <c:v>17</c:v>
                </c:pt>
                <c:pt idx="48">
                  <c:v>11</c:v>
                </c:pt>
                <c:pt idx="49">
                  <c:v>18</c:v>
                </c:pt>
                <c:pt idx="50">
                  <c:v>10</c:v>
                </c:pt>
                <c:pt idx="51">
                  <c:v>6</c:v>
                </c:pt>
                <c:pt idx="52">
                  <c:v>13</c:v>
                </c:pt>
                <c:pt idx="53">
                  <c:v>9</c:v>
                </c:pt>
                <c:pt idx="54">
                  <c:v>20</c:v>
                </c:pt>
                <c:pt idx="55">
                  <c:v>2</c:v>
                </c:pt>
                <c:pt idx="56">
                  <c:v>7</c:v>
                </c:pt>
                <c:pt idx="57">
                  <c:v>9</c:v>
                </c:pt>
                <c:pt idx="58">
                  <c:v>8</c:v>
                </c:pt>
                <c:pt idx="59">
                  <c:v>224</c:v>
                </c:pt>
              </c:numCache>
            </c:numRef>
          </c:val>
        </c:ser>
        <c:gapWidth val="8"/>
        <c:axId val="50030001"/>
        <c:axId val="50030002"/>
      </c:barChart>
      <c:catAx>
        <c:axId val="50030001"/>
        <c:scaling>
          <c:orientation val="minMax"/>
        </c:scaling>
        <c:axPos val="b"/>
        <c:title>
          <c:tx>
            <c:rich>
              <a:bodyPr/>
              <a:lstStyle/>
              <a:p>
                <a:pPr>
                  <a:defRPr/>
                </a:pPr>
                <a:r>
                  <a:rPr lang="en-US"/>
                  <a:t>NPV, USD</a:t>
                </a:r>
              </a:p>
            </c:rich>
          </c:tx>
          <c:layout/>
        </c:title>
        <c:numFmt formatCode="General" sourceLinked="1"/>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Число прогонов</a:t>
                </a:r>
              </a:p>
            </c:rich>
          </c:tx>
          <c:layout/>
        </c:title>
        <c:numFmt formatCode="General" sourceLinked="1"/>
        <c:tickLblPos val="nextTo"/>
        <c:crossAx val="50030001"/>
        <c:crosses val="autoZero"/>
        <c:crossBetween val="between"/>
      </c:valAx>
    </c:plotArea>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Что двигает ожидаемый NPV сильнее всего</a:t>
            </a:r>
          </a:p>
        </c:rich>
      </c:tx>
      <c:layout/>
    </c:title>
    <c:plotArea>
      <c:layout/>
      <c:barChart>
        <c:barDir val="bar"/>
        <c:grouping val="clustered"/>
        <c:ser>
          <c:idx val="0"/>
          <c:order val="0"/>
          <c:tx>
            <c:v>Размах ожидаемого NPV</c:v>
          </c:tx>
          <c:spPr>
            <a:solidFill>
              <a:srgbClr val="1F3864"/>
            </a:solidFill>
          </c:spPr>
          <c:cat>
            <c:strRef>
              <c:f>'10 Чувствительность'!$A$3:$A$15</c:f>
              <c:strCache>
                <c:ptCount val="13"/>
                <c:pt idx="0">
                  <c:v>Стоимость привлечения (CAC)</c:v>
                </c:pt>
                <c:pt idx="1">
                  <c:v>Средняя комиссия с клиента</c:v>
                </c:pt>
                <c:pt idx="2">
                  <c:v>Задержка запуска</c:v>
                </c:pt>
                <c:pt idx="3">
                  <c:v>Валовая маржа</c:v>
                </c:pt>
                <c:pt idx="4">
                  <c:v>Мультипликатор выхода</c:v>
                </c:pt>
                <c:pt idx="5">
                  <c:v>Отток клиентов</c:v>
                </c:pt>
                <c:pt idx="6">
                  <c:v>Стоимость сотрудника</c:v>
                </c:pt>
                <c:pt idx="7">
                  <c:v>Конверсия в сделку (win rate)</c:v>
                </c:pt>
                <c:pt idx="8">
                  <c:v>Размер рынка (число объектов)</c:v>
                </c:pt>
                <c:pt idx="9">
                  <c:v>Постоянные расходы</c:v>
                </c:pt>
                <c:pt idx="10">
                  <c:v>Срок оплаты счетов (DSO)</c:v>
                </c:pt>
                <c:pt idx="11">
                  <c:v>Клиентов на сотрудника</c:v>
                </c:pt>
                <c:pt idx="12">
                  <c:v>Мощность основателя</c:v>
                </c:pt>
              </c:strCache>
            </c:strRef>
          </c:cat>
          <c:val>
            <c:numRef>
              <c:f>'10 Чувствительность'!$D$3:$D$15</c:f>
              <c:numCache>
                <c:formatCode>General</c:formatCode>
                <c:ptCount val="13"/>
                <c:pt idx="0">
                  <c:v>503026.0770646543</c:v>
                </c:pt>
                <c:pt idx="1">
                  <c:v>446041.9596371368</c:v>
                </c:pt>
                <c:pt idx="2">
                  <c:v>239397.4618203609</c:v>
                </c:pt>
                <c:pt idx="3">
                  <c:v>195159.9941671393</c:v>
                </c:pt>
                <c:pt idx="4">
                  <c:v>174763.8503013279</c:v>
                </c:pt>
                <c:pt idx="5">
                  <c:v>133336.956183109</c:v>
                </c:pt>
                <c:pt idx="6">
                  <c:v>91219.37768886361</c:v>
                </c:pt>
                <c:pt idx="7">
                  <c:v>85206.32224964595</c:v>
                </c:pt>
                <c:pt idx="8">
                  <c:v>63993.80975845741</c:v>
                </c:pt>
                <c:pt idx="9">
                  <c:v>57461.52079577299</c:v>
                </c:pt>
                <c:pt idx="10">
                  <c:v>34630.35143248684</c:v>
                </c:pt>
                <c:pt idx="11">
                  <c:v>33488.98896489557</c:v>
                </c:pt>
                <c:pt idx="12">
                  <c:v>28045.20265332484</c:v>
                </c:pt>
              </c:numCache>
            </c:numRef>
          </c:val>
        </c:ser>
        <c:axId val="50040001"/>
        <c:axId val="50040002"/>
      </c:barChart>
      <c:catAx>
        <c:axId val="50040001"/>
        <c:scaling>
          <c:orientation val="minMax"/>
        </c:scaling>
        <c:axPos val="l"/>
        <c:tickLblPos val="nextTo"/>
        <c:crossAx val="50040002"/>
        <c:crosses val="autoZero"/>
        <c:auto val="1"/>
        <c:lblAlgn val="ctr"/>
        <c:lblOffset val="100"/>
      </c:catAx>
      <c:valAx>
        <c:axId val="50040002"/>
        <c:scaling>
          <c:orientation val="minMax"/>
        </c:scaling>
        <c:axPos val="b"/>
        <c:majorGridlines/>
        <c:title>
          <c:tx>
            <c:rich>
              <a:bodyPr/>
              <a:lstStyle/>
              <a:p>
                <a:pPr>
                  <a:defRPr/>
                </a:pPr>
                <a:r>
                  <a:rPr lang="en-US"/>
                  <a:t>Размах NPV, USD</a:t>
                </a:r>
              </a:p>
            </c:rich>
          </c:tx>
          <c:layout/>
        </c:title>
        <c:numFmt formatCode="General" sourceLinked="1"/>
        <c:tickLblPos val="nextTo"/>
        <c:crossAx val="5004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0</xdr:colOff>
      <xdr:row>2</xdr:row>
      <xdr:rowOff>0</xdr:rowOff>
    </xdr:from>
    <xdr:to>
      <xdr:col>26</xdr:col>
      <xdr:colOff>495300</xdr:colOff>
      <xdr:row>22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24</xdr:row>
      <xdr:rowOff>0</xdr:rowOff>
    </xdr:from>
    <xdr:to>
      <xdr:col>26</xdr:col>
      <xdr:colOff>495300</xdr:colOff>
      <xdr:row>40</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xdr:row>
      <xdr:rowOff>0</xdr:rowOff>
    </xdr:from>
    <xdr:to>
      <xdr:col>18</xdr:col>
      <xdr:colOff>38100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2</xdr:row>
      <xdr:rowOff>0</xdr:rowOff>
    </xdr:from>
    <xdr:to>
      <xdr:col>20</xdr:col>
      <xdr:colOff>266700</xdr:colOff>
      <xdr:row>25</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B1:C26"/>
  <sheetViews>
    <sheetView tabSelected="1" workbookViewId="0"/>
  </sheetViews>
  <sheetFormatPr defaultRowHeight="15"/>
  <cols>
    <col min="1" max="1" width="3.7109375" customWidth="1"/>
    <col min="2" max="2" width="46.7109375" customWidth="1"/>
    <col min="3" max="3" width="86.7109375" customWidth="1"/>
  </cols>
  <sheetData>
    <row r="1" spans="2:3">
      <c r="B1" s="1" t="s">
        <v>0</v>
      </c>
    </row>
    <row r="3" spans="2:3" ht="44" customHeight="1">
      <c r="B3" s="2" t="s">
        <v>1</v>
      </c>
      <c r="C3" s="3" t="s">
        <v>2</v>
      </c>
    </row>
    <row r="4" spans="2:3" ht="44" customHeight="1">
      <c r="B4" s="2" t="s">
        <v>3</v>
      </c>
      <c r="C4" s="3" t="s">
        <v>4</v>
      </c>
    </row>
    <row r="5" spans="2:3" ht="44" customHeight="1">
      <c r="B5" s="2" t="s">
        <v>5</v>
      </c>
      <c r="C5" s="3" t="s">
        <v>6</v>
      </c>
    </row>
    <row r="6" spans="2:3" ht="44" customHeight="1">
      <c r="B6" s="2" t="s">
        <v>7</v>
      </c>
      <c r="C6" s="3" t="s">
        <v>8</v>
      </c>
    </row>
    <row r="7" spans="2:3" ht="44" customHeight="1">
      <c r="B7" s="2" t="s">
        <v>9</v>
      </c>
      <c r="C7" s="3" t="s">
        <v>10</v>
      </c>
    </row>
    <row r="8" spans="2:3" ht="44" customHeight="1">
      <c r="B8" s="2" t="s">
        <v>11</v>
      </c>
      <c r="C8" s="3" t="s">
        <v>12</v>
      </c>
    </row>
    <row r="9" spans="2:3" ht="44" customHeight="1">
      <c r="B9" s="2" t="s">
        <v>13</v>
      </c>
      <c r="C9" s="3" t="s">
        <v>14</v>
      </c>
    </row>
    <row r="10" spans="2:3" ht="44" customHeight="1">
      <c r="B10" s="2" t="s">
        <v>15</v>
      </c>
      <c r="C10" s="3" t="s">
        <v>16</v>
      </c>
    </row>
    <row r="11" spans="2:3" ht="44" customHeight="1">
      <c r="B11" s="2" t="s">
        <v>17</v>
      </c>
      <c r="C11" s="3" t="s">
        <v>18</v>
      </c>
    </row>
    <row r="12" spans="2:3" ht="44" customHeight="1">
      <c r="B12" s="2" t="s">
        <v>19</v>
      </c>
      <c r="C12" s="3" t="s">
        <v>20</v>
      </c>
    </row>
    <row r="13" spans="2:3" ht="44" customHeight="1">
      <c r="B13" s="2" t="s">
        <v>21</v>
      </c>
      <c r="C13" s="3" t="s">
        <v>22</v>
      </c>
    </row>
    <row r="15" spans="2:3">
      <c r="B15" s="4" t="s">
        <v>23</v>
      </c>
    </row>
    <row r="16" spans="2:3">
      <c r="B16" s="2" t="s">
        <v>24</v>
      </c>
      <c r="C16" s="3" t="s">
        <v>25</v>
      </c>
    </row>
    <row r="17" spans="2:3">
      <c r="B17" s="2" t="s">
        <v>26</v>
      </c>
      <c r="C17" s="3" t="s">
        <v>27</v>
      </c>
    </row>
    <row r="18" spans="2:3">
      <c r="B18" s="2" t="s">
        <v>28</v>
      </c>
      <c r="C18" s="3" t="s">
        <v>29</v>
      </c>
    </row>
    <row r="19" spans="2:3">
      <c r="B19" s="2" t="s">
        <v>30</v>
      </c>
      <c r="C19" s="3" t="s">
        <v>31</v>
      </c>
    </row>
    <row r="20" spans="2:3">
      <c r="B20" s="2" t="s">
        <v>32</v>
      </c>
      <c r="C20" s="3" t="s">
        <v>33</v>
      </c>
    </row>
    <row r="21" spans="2:3">
      <c r="B21" s="2" t="s">
        <v>34</v>
      </c>
      <c r="C21" s="3" t="s">
        <v>35</v>
      </c>
    </row>
    <row r="22" spans="2:3">
      <c r="B22" s="2" t="s">
        <v>36</v>
      </c>
      <c r="C22" s="3" t="s">
        <v>37</v>
      </c>
    </row>
    <row r="23" spans="2:3">
      <c r="B23" s="2" t="s">
        <v>38</v>
      </c>
      <c r="C23" s="3" t="s">
        <v>39</v>
      </c>
    </row>
    <row r="24" spans="2:3">
      <c r="B24" s="2" t="s">
        <v>40</v>
      </c>
      <c r="C24" s="3" t="s">
        <v>41</v>
      </c>
    </row>
    <row r="25" spans="2:3">
      <c r="B25" s="2" t="s">
        <v>42</v>
      </c>
      <c r="C25" s="3" t="s">
        <v>43</v>
      </c>
    </row>
    <row r="26" spans="2:3">
      <c r="B26" s="2" t="s">
        <v>44</v>
      </c>
      <c r="C26" s="3"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104"/>
  <sheetViews>
    <sheetView workbookViewId="0">
      <pane ySplit="1" topLeftCell="A2" activePane="bottomLeft" state="frozen"/>
      <selection pane="bottomLeft"/>
    </sheetView>
  </sheetViews>
  <sheetFormatPr defaultRowHeight="15"/>
  <cols>
    <col min="1" max="1" width="9.7109375" customWidth="1"/>
    <col min="2" max="2" width="34.7109375" customWidth="1"/>
    <col min="3" max="3" width="18.7109375" customWidth="1"/>
    <col min="4" max="4" width="52.7109375" customWidth="1"/>
    <col min="5" max="5" width="30.7109375" customWidth="1"/>
    <col min="6" max="6" width="34.7109375" customWidth="1"/>
    <col min="7" max="8" width="46.7109375" customWidth="1"/>
    <col min="9" max="9" width="40.7109375" customWidth="1"/>
    <col min="10" max="10" width="52.7109375" customWidth="1"/>
    <col min="11" max="11" width="40.7109375" customWidth="1"/>
    <col min="12" max="12" width="46.7109375" customWidth="1"/>
    <col min="13" max="13" width="20.7109375" customWidth="1"/>
    <col min="14" max="14" width="26.7109375" customWidth="1"/>
    <col min="15" max="15" width="34.7109375" customWidth="1"/>
  </cols>
  <sheetData>
    <row r="1" spans="1:15" ht="34" customHeight="1">
      <c r="A1" s="5" t="s">
        <v>46</v>
      </c>
      <c r="B1" s="5" t="s">
        <v>47</v>
      </c>
      <c r="C1" s="5" t="s">
        <v>48</v>
      </c>
      <c r="D1" s="5" t="s">
        <v>49</v>
      </c>
      <c r="E1" s="5" t="s">
        <v>50</v>
      </c>
      <c r="F1" s="5" t="s">
        <v>51</v>
      </c>
      <c r="G1" s="5" t="s">
        <v>52</v>
      </c>
      <c r="H1" s="5" t="s">
        <v>53</v>
      </c>
      <c r="I1" s="5" t="s">
        <v>54</v>
      </c>
      <c r="J1" s="5" t="s">
        <v>55</v>
      </c>
      <c r="K1" s="5" t="s">
        <v>56</v>
      </c>
      <c r="L1" s="5" t="s">
        <v>57</v>
      </c>
      <c r="M1" s="5" t="s">
        <v>58</v>
      </c>
      <c r="N1" s="5" t="s">
        <v>59</v>
      </c>
      <c r="O1" s="5" t="s">
        <v>60</v>
      </c>
    </row>
    <row r="2" spans="1:15">
      <c r="A2" s="3" t="s">
        <v>61</v>
      </c>
      <c r="B2" s="3" t="s">
        <v>62</v>
      </c>
      <c r="C2" s="3" t="s">
        <v>63</v>
      </c>
      <c r="D2" s="3" t="s">
        <v>64</v>
      </c>
      <c r="E2" s="3" t="s">
        <v>65</v>
      </c>
      <c r="F2" s="3" t="s">
        <v>66</v>
      </c>
      <c r="G2" s="3" t="s">
        <v>67</v>
      </c>
      <c r="H2" s="3" t="s">
        <v>68</v>
      </c>
      <c r="I2" s="3" t="s">
        <v>69</v>
      </c>
      <c r="J2" s="3" t="s">
        <v>70</v>
      </c>
      <c r="K2" s="3" t="s">
        <v>71</v>
      </c>
      <c r="L2" s="3" t="s">
        <v>72</v>
      </c>
      <c r="M2" s="3" t="s">
        <v>73</v>
      </c>
      <c r="N2" s="3" t="s">
        <v>74</v>
      </c>
      <c r="O2" s="3" t="s">
        <v>75</v>
      </c>
    </row>
    <row r="3" spans="1:15">
      <c r="A3" s="3" t="s">
        <v>76</v>
      </c>
      <c r="B3" s="3" t="s">
        <v>77</v>
      </c>
      <c r="C3" s="3" t="s">
        <v>78</v>
      </c>
      <c r="D3" s="3" t="s">
        <v>79</v>
      </c>
      <c r="E3" s="3" t="s">
        <v>80</v>
      </c>
      <c r="F3" s="3" t="s">
        <v>81</v>
      </c>
      <c r="G3" s="3" t="s">
        <v>82</v>
      </c>
      <c r="H3" s="3" t="s">
        <v>83</v>
      </c>
      <c r="I3" s="3" t="s">
        <v>84</v>
      </c>
      <c r="J3" s="3" t="s">
        <v>85</v>
      </c>
      <c r="K3" s="3" t="s">
        <v>86</v>
      </c>
      <c r="L3" s="3" t="s">
        <v>87</v>
      </c>
      <c r="M3" s="3" t="s">
        <v>88</v>
      </c>
      <c r="N3" s="3" t="s">
        <v>89</v>
      </c>
      <c r="O3" s="3" t="s">
        <v>90</v>
      </c>
    </row>
    <row r="4" spans="1:15">
      <c r="A4" s="3" t="s">
        <v>91</v>
      </c>
      <c r="B4" s="3" t="s">
        <v>92</v>
      </c>
      <c r="C4" s="3" t="s">
        <v>93</v>
      </c>
      <c r="D4" s="3" t="s">
        <v>94</v>
      </c>
      <c r="E4" s="3" t="s">
        <v>95</v>
      </c>
      <c r="F4" s="3" t="s">
        <v>96</v>
      </c>
      <c r="G4" s="3" t="s">
        <v>97</v>
      </c>
      <c r="H4" s="3" t="s">
        <v>98</v>
      </c>
      <c r="I4" s="3" t="s">
        <v>99</v>
      </c>
      <c r="J4" s="3" t="s">
        <v>100</v>
      </c>
      <c r="K4" s="3" t="s">
        <v>101</v>
      </c>
      <c r="L4" s="3" t="s">
        <v>102</v>
      </c>
      <c r="M4" s="3" t="s">
        <v>103</v>
      </c>
      <c r="N4" s="3" t="s">
        <v>104</v>
      </c>
      <c r="O4" s="3" t="s">
        <v>105</v>
      </c>
    </row>
    <row r="5" spans="1:15">
      <c r="A5" s="3" t="s">
        <v>106</v>
      </c>
      <c r="B5" s="3" t="s">
        <v>107</v>
      </c>
      <c r="C5" s="3" t="s">
        <v>108</v>
      </c>
      <c r="D5" s="3" t="s">
        <v>109</v>
      </c>
      <c r="E5" s="3" t="s">
        <v>110</v>
      </c>
      <c r="F5" s="3" t="s">
        <v>111</v>
      </c>
      <c r="G5" s="3" t="s">
        <v>112</v>
      </c>
      <c r="H5" s="3" t="s">
        <v>113</v>
      </c>
      <c r="I5" s="3" t="s">
        <v>114</v>
      </c>
      <c r="J5" s="3" t="s">
        <v>115</v>
      </c>
      <c r="K5" s="3" t="s">
        <v>116</v>
      </c>
      <c r="L5" s="3" t="s">
        <v>117</v>
      </c>
      <c r="M5" s="3" t="s">
        <v>118</v>
      </c>
      <c r="N5" s="3" t="s">
        <v>119</v>
      </c>
      <c r="O5" s="3" t="s">
        <v>120</v>
      </c>
    </row>
    <row r="6" spans="1:15">
      <c r="A6" s="3" t="s">
        <v>121</v>
      </c>
      <c r="B6" s="3" t="s">
        <v>122</v>
      </c>
      <c r="C6" s="3" t="s">
        <v>123</v>
      </c>
      <c r="D6" s="3" t="s">
        <v>124</v>
      </c>
      <c r="E6" s="3" t="s">
        <v>125</v>
      </c>
      <c r="F6" s="3" t="s">
        <v>126</v>
      </c>
      <c r="G6" s="3" t="s">
        <v>127</v>
      </c>
      <c r="H6" s="3" t="s">
        <v>128</v>
      </c>
      <c r="I6" s="3" t="s">
        <v>129</v>
      </c>
      <c r="J6" s="3" t="s">
        <v>130</v>
      </c>
      <c r="K6" s="3" t="s">
        <v>131</v>
      </c>
      <c r="L6" s="3" t="s">
        <v>132</v>
      </c>
      <c r="M6" s="3" t="s">
        <v>133</v>
      </c>
      <c r="N6" s="3" t="s">
        <v>134</v>
      </c>
      <c r="O6" s="3" t="s">
        <v>135</v>
      </c>
    </row>
    <row r="7" spans="1:15">
      <c r="A7" s="3" t="s">
        <v>136</v>
      </c>
      <c r="B7" s="3" t="s">
        <v>137</v>
      </c>
      <c r="C7" s="3" t="s">
        <v>138</v>
      </c>
      <c r="D7" s="3" t="s">
        <v>139</v>
      </c>
      <c r="E7" s="3" t="s">
        <v>140</v>
      </c>
      <c r="F7" s="3" t="s">
        <v>141</v>
      </c>
      <c r="G7" s="3" t="s">
        <v>142</v>
      </c>
      <c r="H7" s="3" t="s">
        <v>143</v>
      </c>
      <c r="I7" s="3" t="s">
        <v>144</v>
      </c>
      <c r="J7" s="3" t="s">
        <v>145</v>
      </c>
      <c r="K7" s="3" t="s">
        <v>146</v>
      </c>
      <c r="L7" s="3" t="s">
        <v>147</v>
      </c>
      <c r="M7" s="3" t="s">
        <v>148</v>
      </c>
      <c r="N7" s="3" t="s">
        <v>149</v>
      </c>
      <c r="O7" s="3" t="s">
        <v>150</v>
      </c>
    </row>
    <row r="8" spans="1:15">
      <c r="A8" s="3" t="s">
        <v>151</v>
      </c>
      <c r="B8" s="3" t="s">
        <v>152</v>
      </c>
      <c r="C8" s="3" t="s">
        <v>153</v>
      </c>
      <c r="D8" s="3" t="s">
        <v>154</v>
      </c>
      <c r="E8" s="3" t="s">
        <v>155</v>
      </c>
      <c r="F8" s="3" t="s">
        <v>156</v>
      </c>
      <c r="G8" s="3" t="s">
        <v>157</v>
      </c>
      <c r="H8" s="3" t="s">
        <v>158</v>
      </c>
      <c r="I8" s="3" t="s">
        <v>159</v>
      </c>
      <c r="J8" s="3" t="s">
        <v>160</v>
      </c>
      <c r="K8" s="3" t="s">
        <v>161</v>
      </c>
      <c r="L8" s="3" t="s">
        <v>162</v>
      </c>
      <c r="M8" s="3" t="s">
        <v>163</v>
      </c>
      <c r="N8" s="3" t="s">
        <v>164</v>
      </c>
      <c r="O8" s="3" t="s">
        <v>165</v>
      </c>
    </row>
    <row r="9" spans="1:15">
      <c r="A9" s="3" t="s">
        <v>166</v>
      </c>
      <c r="B9" s="3" t="s">
        <v>167</v>
      </c>
      <c r="C9" s="3" t="s">
        <v>168</v>
      </c>
      <c r="D9" s="3" t="s">
        <v>169</v>
      </c>
      <c r="E9" s="3" t="s">
        <v>170</v>
      </c>
      <c r="F9" s="3" t="s">
        <v>171</v>
      </c>
      <c r="G9" s="3" t="s">
        <v>172</v>
      </c>
      <c r="H9" s="3" t="s">
        <v>173</v>
      </c>
      <c r="I9" s="3" t="s">
        <v>174</v>
      </c>
      <c r="J9" s="3" t="s">
        <v>175</v>
      </c>
      <c r="K9" s="3" t="s">
        <v>176</v>
      </c>
      <c r="L9" s="3" t="s">
        <v>177</v>
      </c>
      <c r="M9" s="3" t="s">
        <v>178</v>
      </c>
      <c r="N9" s="3" t="s">
        <v>179</v>
      </c>
      <c r="O9" s="3" t="s">
        <v>180</v>
      </c>
    </row>
    <row r="10" spans="1:15">
      <c r="A10" s="3" t="s">
        <v>181</v>
      </c>
      <c r="B10" s="3" t="s">
        <v>182</v>
      </c>
      <c r="C10" s="3" t="s">
        <v>168</v>
      </c>
      <c r="D10" s="3" t="s">
        <v>183</v>
      </c>
      <c r="E10" s="3" t="s">
        <v>184</v>
      </c>
      <c r="F10" s="3" t="s">
        <v>185</v>
      </c>
      <c r="G10" s="3" t="s">
        <v>186</v>
      </c>
      <c r="H10" s="3" t="s">
        <v>187</v>
      </c>
      <c r="I10" s="3" t="s">
        <v>188</v>
      </c>
      <c r="J10" s="3" t="s">
        <v>189</v>
      </c>
      <c r="K10" s="3" t="s">
        <v>190</v>
      </c>
      <c r="L10" s="3" t="s">
        <v>191</v>
      </c>
      <c r="M10" s="3" t="s">
        <v>192</v>
      </c>
      <c r="N10" s="3" t="s">
        <v>193</v>
      </c>
      <c r="O10" s="3" t="s">
        <v>194</v>
      </c>
    </row>
    <row r="11" spans="1:15">
      <c r="A11" s="3" t="s">
        <v>195</v>
      </c>
      <c r="B11" s="3" t="s">
        <v>196</v>
      </c>
      <c r="C11" s="3" t="s">
        <v>168</v>
      </c>
      <c r="D11" s="3" t="s">
        <v>197</v>
      </c>
      <c r="E11" s="3" t="s">
        <v>198</v>
      </c>
      <c r="F11" s="3" t="s">
        <v>199</v>
      </c>
      <c r="G11" s="3" t="s">
        <v>200</v>
      </c>
      <c r="H11" s="3" t="s">
        <v>201</v>
      </c>
      <c r="I11" s="3" t="s">
        <v>202</v>
      </c>
      <c r="J11" s="3" t="s">
        <v>203</v>
      </c>
      <c r="K11" s="3" t="s">
        <v>204</v>
      </c>
      <c r="L11" s="3" t="s">
        <v>205</v>
      </c>
      <c r="M11" s="3" t="s">
        <v>206</v>
      </c>
      <c r="N11" s="3" t="s">
        <v>207</v>
      </c>
      <c r="O11" s="3" t="s">
        <v>208</v>
      </c>
    </row>
    <row r="12" spans="1:15">
      <c r="A12" s="3" t="s">
        <v>209</v>
      </c>
      <c r="B12" s="3" t="s">
        <v>210</v>
      </c>
      <c r="C12" s="3" t="s">
        <v>211</v>
      </c>
      <c r="D12" s="3" t="s">
        <v>212</v>
      </c>
      <c r="E12" s="3" t="s">
        <v>213</v>
      </c>
      <c r="F12" s="3" t="s">
        <v>214</v>
      </c>
      <c r="G12" s="3" t="s">
        <v>215</v>
      </c>
      <c r="H12" s="3" t="s">
        <v>216</v>
      </c>
      <c r="I12" s="3" t="s">
        <v>217</v>
      </c>
      <c r="J12" s="3" t="s">
        <v>218</v>
      </c>
      <c r="K12" s="3" t="s">
        <v>219</v>
      </c>
      <c r="L12" s="3" t="s">
        <v>220</v>
      </c>
      <c r="M12" s="3" t="s">
        <v>221</v>
      </c>
      <c r="N12" s="3" t="s">
        <v>222</v>
      </c>
      <c r="O12" s="3" t="s">
        <v>223</v>
      </c>
    </row>
    <row r="13" spans="1:15">
      <c r="A13" s="3" t="s">
        <v>224</v>
      </c>
      <c r="B13" s="3" t="s">
        <v>225</v>
      </c>
      <c r="C13" s="3" t="s">
        <v>211</v>
      </c>
      <c r="D13" s="3" t="s">
        <v>226</v>
      </c>
      <c r="E13" s="3" t="s">
        <v>227</v>
      </c>
      <c r="F13" s="3" t="s">
        <v>228</v>
      </c>
      <c r="G13" s="3" t="s">
        <v>229</v>
      </c>
      <c r="H13" s="3" t="s">
        <v>230</v>
      </c>
      <c r="I13" s="3" t="s">
        <v>231</v>
      </c>
      <c r="J13" s="3" t="s">
        <v>232</v>
      </c>
      <c r="K13" s="3" t="s">
        <v>233</v>
      </c>
      <c r="L13" s="3" t="s">
        <v>234</v>
      </c>
      <c r="M13" s="3" t="s">
        <v>235</v>
      </c>
      <c r="N13" s="3" t="s">
        <v>236</v>
      </c>
      <c r="O13" s="3" t="s">
        <v>237</v>
      </c>
    </row>
    <row r="14" spans="1:15">
      <c r="A14" s="3" t="s">
        <v>238</v>
      </c>
      <c r="B14" s="3" t="s">
        <v>239</v>
      </c>
      <c r="C14" s="3" t="s">
        <v>240</v>
      </c>
      <c r="D14" s="3" t="s">
        <v>241</v>
      </c>
      <c r="E14" s="3" t="s">
        <v>242</v>
      </c>
      <c r="F14" s="3" t="s">
        <v>243</v>
      </c>
      <c r="G14" s="3" t="s">
        <v>244</v>
      </c>
      <c r="H14" s="3" t="s">
        <v>245</v>
      </c>
      <c r="I14" s="3" t="s">
        <v>246</v>
      </c>
      <c r="J14" s="3" t="s">
        <v>247</v>
      </c>
      <c r="K14" s="3" t="s">
        <v>248</v>
      </c>
      <c r="L14" s="3" t="s">
        <v>249</v>
      </c>
      <c r="M14" s="3" t="s">
        <v>250</v>
      </c>
      <c r="N14" s="3" t="s">
        <v>251</v>
      </c>
      <c r="O14" s="3" t="s">
        <v>252</v>
      </c>
    </row>
    <row r="15" spans="1:15">
      <c r="A15" s="3" t="s">
        <v>253</v>
      </c>
      <c r="B15" s="3" t="s">
        <v>254</v>
      </c>
      <c r="C15" s="3" t="s">
        <v>255</v>
      </c>
      <c r="D15" s="3" t="s">
        <v>256</v>
      </c>
      <c r="E15" s="3" t="s">
        <v>257</v>
      </c>
      <c r="F15" s="3" t="s">
        <v>258</v>
      </c>
      <c r="G15" s="3" t="s">
        <v>259</v>
      </c>
      <c r="H15" s="3" t="s">
        <v>260</v>
      </c>
      <c r="I15" s="3" t="s">
        <v>261</v>
      </c>
      <c r="J15" s="3" t="s">
        <v>262</v>
      </c>
      <c r="K15" s="3" t="s">
        <v>263</v>
      </c>
      <c r="L15" s="3" t="s">
        <v>264</v>
      </c>
      <c r="M15" s="3" t="s">
        <v>265</v>
      </c>
      <c r="N15" s="3" t="s">
        <v>266</v>
      </c>
      <c r="O15" s="3" t="s">
        <v>267</v>
      </c>
    </row>
    <row r="16" spans="1:15">
      <c r="A16" s="3" t="s">
        <v>268</v>
      </c>
      <c r="B16" s="3" t="s">
        <v>269</v>
      </c>
      <c r="C16" s="3" t="s">
        <v>270</v>
      </c>
      <c r="D16" s="3" t="s">
        <v>271</v>
      </c>
      <c r="E16" s="3" t="s">
        <v>272</v>
      </c>
      <c r="F16" s="3" t="s">
        <v>273</v>
      </c>
      <c r="G16" s="3" t="s">
        <v>274</v>
      </c>
      <c r="H16" s="3" t="s">
        <v>275</v>
      </c>
      <c r="I16" s="3" t="s">
        <v>276</v>
      </c>
      <c r="J16" s="3" t="s">
        <v>277</v>
      </c>
      <c r="K16" s="3" t="s">
        <v>278</v>
      </c>
      <c r="L16" s="3" t="s">
        <v>279</v>
      </c>
      <c r="M16" s="3" t="s">
        <v>280</v>
      </c>
      <c r="N16" s="3" t="s">
        <v>281</v>
      </c>
      <c r="O16" s="3" t="s">
        <v>282</v>
      </c>
    </row>
    <row r="17" spans="1:15">
      <c r="A17" s="3" t="s">
        <v>283</v>
      </c>
      <c r="B17" s="3" t="s">
        <v>284</v>
      </c>
      <c r="C17" s="3" t="s">
        <v>285</v>
      </c>
      <c r="D17" s="3" t="s">
        <v>286</v>
      </c>
      <c r="E17" s="3" t="s">
        <v>287</v>
      </c>
      <c r="F17" s="3" t="s">
        <v>288</v>
      </c>
      <c r="G17" s="3" t="s">
        <v>289</v>
      </c>
      <c r="H17" s="3" t="s">
        <v>290</v>
      </c>
      <c r="I17" s="3" t="s">
        <v>291</v>
      </c>
      <c r="J17" s="3" t="s">
        <v>292</v>
      </c>
      <c r="K17" s="3" t="s">
        <v>293</v>
      </c>
      <c r="L17" s="3" t="s">
        <v>294</v>
      </c>
      <c r="M17" s="3" t="s">
        <v>295</v>
      </c>
      <c r="N17" s="3" t="s">
        <v>296</v>
      </c>
      <c r="O17" s="3" t="s">
        <v>297</v>
      </c>
    </row>
    <row r="18" spans="1:15">
      <c r="A18" s="3" t="s">
        <v>298</v>
      </c>
      <c r="B18" s="3" t="s">
        <v>299</v>
      </c>
      <c r="C18" s="3" t="s">
        <v>300</v>
      </c>
      <c r="D18" s="3" t="s">
        <v>301</v>
      </c>
      <c r="E18" s="3" t="s">
        <v>302</v>
      </c>
      <c r="F18" s="3" t="s">
        <v>303</v>
      </c>
      <c r="G18" s="3" t="s">
        <v>304</v>
      </c>
      <c r="H18" s="3" t="s">
        <v>305</v>
      </c>
      <c r="I18" s="3" t="s">
        <v>306</v>
      </c>
      <c r="J18" s="3" t="s">
        <v>307</v>
      </c>
      <c r="K18" s="3" t="s">
        <v>308</v>
      </c>
      <c r="L18" s="3" t="s">
        <v>309</v>
      </c>
      <c r="M18" s="3" t="s">
        <v>310</v>
      </c>
      <c r="N18" s="3" t="s">
        <v>311</v>
      </c>
      <c r="O18" s="3" t="s">
        <v>312</v>
      </c>
    </row>
    <row r="19" spans="1:15">
      <c r="A19" s="3" t="s">
        <v>313</v>
      </c>
      <c r="B19" s="3" t="s">
        <v>314</v>
      </c>
      <c r="C19" s="3" t="s">
        <v>315</v>
      </c>
      <c r="D19" s="3" t="s">
        <v>316</v>
      </c>
      <c r="E19" s="3" t="s">
        <v>317</v>
      </c>
      <c r="F19" s="3" t="s">
        <v>318</v>
      </c>
      <c r="G19" s="3" t="s">
        <v>319</v>
      </c>
      <c r="H19" s="3" t="s">
        <v>320</v>
      </c>
      <c r="I19" s="3" t="s">
        <v>321</v>
      </c>
      <c r="J19" s="3" t="s">
        <v>322</v>
      </c>
      <c r="K19" s="3" t="s">
        <v>323</v>
      </c>
      <c r="L19" s="3" t="s">
        <v>324</v>
      </c>
      <c r="M19" s="3" t="s">
        <v>325</v>
      </c>
      <c r="N19" s="3" t="s">
        <v>326</v>
      </c>
      <c r="O19" s="3" t="s">
        <v>327</v>
      </c>
    </row>
    <row r="20" spans="1:15">
      <c r="A20" s="3" t="s">
        <v>328</v>
      </c>
      <c r="B20" s="3" t="s">
        <v>329</v>
      </c>
      <c r="C20" s="3" t="s">
        <v>330</v>
      </c>
      <c r="D20" s="3" t="s">
        <v>331</v>
      </c>
      <c r="E20" s="3" t="s">
        <v>332</v>
      </c>
      <c r="F20" s="3" t="s">
        <v>333</v>
      </c>
      <c r="G20" s="3" t="s">
        <v>334</v>
      </c>
      <c r="H20" s="3" t="s">
        <v>335</v>
      </c>
      <c r="I20" s="3" t="s">
        <v>336</v>
      </c>
      <c r="J20" s="3" t="s">
        <v>337</v>
      </c>
      <c r="K20" s="3" t="s">
        <v>338</v>
      </c>
      <c r="L20" s="3" t="s">
        <v>339</v>
      </c>
      <c r="M20" s="3" t="s">
        <v>340</v>
      </c>
      <c r="N20" s="3" t="s">
        <v>341</v>
      </c>
      <c r="O20" s="3" t="s">
        <v>342</v>
      </c>
    </row>
    <row r="21" spans="1:15">
      <c r="A21" s="3" t="s">
        <v>343</v>
      </c>
      <c r="B21" s="3" t="s">
        <v>344</v>
      </c>
      <c r="C21" s="3" t="s">
        <v>345</v>
      </c>
      <c r="D21" s="3" t="s">
        <v>346</v>
      </c>
      <c r="E21" s="3" t="s">
        <v>347</v>
      </c>
      <c r="F21" s="3" t="s">
        <v>348</v>
      </c>
      <c r="G21" s="3" t="s">
        <v>349</v>
      </c>
      <c r="H21" s="3" t="s">
        <v>350</v>
      </c>
      <c r="I21" s="3" t="s">
        <v>351</v>
      </c>
      <c r="J21" s="3" t="s">
        <v>352</v>
      </c>
      <c r="K21" s="3" t="s">
        <v>353</v>
      </c>
      <c r="L21" s="3" t="s">
        <v>354</v>
      </c>
      <c r="M21" s="3" t="s">
        <v>148</v>
      </c>
      <c r="N21" s="3" t="s">
        <v>355</v>
      </c>
      <c r="O21" s="3" t="s">
        <v>356</v>
      </c>
    </row>
    <row r="22" spans="1:15">
      <c r="A22" s="3" t="s">
        <v>357</v>
      </c>
      <c r="B22" s="3" t="s">
        <v>358</v>
      </c>
      <c r="C22" s="3" t="s">
        <v>359</v>
      </c>
      <c r="D22" s="3" t="s">
        <v>360</v>
      </c>
      <c r="E22" s="3" t="s">
        <v>361</v>
      </c>
      <c r="F22" s="3" t="s">
        <v>362</v>
      </c>
      <c r="G22" s="3" t="s">
        <v>363</v>
      </c>
      <c r="H22" s="3" t="s">
        <v>364</v>
      </c>
      <c r="I22" s="3" t="s">
        <v>365</v>
      </c>
      <c r="J22" s="3" t="s">
        <v>366</v>
      </c>
      <c r="K22" s="3" t="s">
        <v>367</v>
      </c>
      <c r="L22" s="3" t="s">
        <v>368</v>
      </c>
      <c r="M22" s="3" t="s">
        <v>369</v>
      </c>
      <c r="N22" s="3" t="s">
        <v>370</v>
      </c>
      <c r="O22" s="3" t="s">
        <v>371</v>
      </c>
    </row>
    <row r="23" spans="1:15">
      <c r="A23" s="3" t="s">
        <v>372</v>
      </c>
      <c r="B23" s="3" t="s">
        <v>373</v>
      </c>
      <c r="C23" s="3" t="s">
        <v>374</v>
      </c>
      <c r="D23" s="3" t="s">
        <v>375</v>
      </c>
      <c r="E23" s="3" t="s">
        <v>376</v>
      </c>
      <c r="F23" s="3" t="s">
        <v>377</v>
      </c>
      <c r="G23" s="3" t="s">
        <v>378</v>
      </c>
      <c r="H23" s="3" t="s">
        <v>379</v>
      </c>
      <c r="I23" s="3" t="s">
        <v>380</v>
      </c>
      <c r="J23" s="3" t="s">
        <v>381</v>
      </c>
      <c r="K23" s="3" t="s">
        <v>382</v>
      </c>
      <c r="L23" s="3" t="s">
        <v>383</v>
      </c>
      <c r="M23" s="3" t="s">
        <v>384</v>
      </c>
      <c r="N23" s="3" t="s">
        <v>385</v>
      </c>
      <c r="O23" s="3" t="s">
        <v>386</v>
      </c>
    </row>
    <row r="24" spans="1:15">
      <c r="A24" s="3" t="s">
        <v>387</v>
      </c>
      <c r="B24" s="3" t="s">
        <v>388</v>
      </c>
      <c r="C24" s="3" t="s">
        <v>389</v>
      </c>
      <c r="D24" s="3" t="s">
        <v>390</v>
      </c>
      <c r="E24" s="3" t="s">
        <v>391</v>
      </c>
      <c r="F24" s="3" t="s">
        <v>392</v>
      </c>
      <c r="G24" s="3" t="s">
        <v>393</v>
      </c>
      <c r="H24" s="3" t="s">
        <v>394</v>
      </c>
      <c r="I24" s="3" t="s">
        <v>395</v>
      </c>
      <c r="J24" s="3" t="s">
        <v>396</v>
      </c>
      <c r="K24" s="3" t="s">
        <v>397</v>
      </c>
      <c r="L24" s="3" t="s">
        <v>398</v>
      </c>
      <c r="M24" s="3" t="s">
        <v>399</v>
      </c>
      <c r="N24" s="3" t="s">
        <v>400</v>
      </c>
      <c r="O24" s="3" t="s">
        <v>401</v>
      </c>
    </row>
    <row r="25" spans="1:15">
      <c r="A25" s="3" t="s">
        <v>402</v>
      </c>
      <c r="B25" s="3" t="s">
        <v>403</v>
      </c>
      <c r="C25" s="3" t="s">
        <v>404</v>
      </c>
      <c r="D25" s="3" t="s">
        <v>405</v>
      </c>
      <c r="E25" s="3" t="s">
        <v>406</v>
      </c>
      <c r="F25" s="3" t="s">
        <v>407</v>
      </c>
      <c r="G25" s="3" t="s">
        <v>408</v>
      </c>
      <c r="H25" s="3" t="s">
        <v>409</v>
      </c>
      <c r="I25" s="3" t="s">
        <v>410</v>
      </c>
      <c r="J25" s="3" t="s">
        <v>411</v>
      </c>
      <c r="K25" s="3" t="s">
        <v>412</v>
      </c>
      <c r="L25" s="3" t="s">
        <v>413</v>
      </c>
      <c r="M25" s="3" t="s">
        <v>414</v>
      </c>
      <c r="N25" s="3" t="s">
        <v>415</v>
      </c>
      <c r="O25" s="3" t="s">
        <v>416</v>
      </c>
    </row>
    <row r="26" spans="1:15">
      <c r="A26" s="3" t="s">
        <v>417</v>
      </c>
      <c r="B26" s="3" t="s">
        <v>418</v>
      </c>
      <c r="C26" s="3" t="s">
        <v>419</v>
      </c>
      <c r="D26" s="3" t="s">
        <v>420</v>
      </c>
      <c r="E26" s="3" t="s">
        <v>421</v>
      </c>
      <c r="F26" s="3" t="s">
        <v>422</v>
      </c>
      <c r="G26" s="3" t="s">
        <v>423</v>
      </c>
      <c r="H26" s="3" t="s">
        <v>424</v>
      </c>
      <c r="I26" s="3" t="s">
        <v>425</v>
      </c>
      <c r="J26" s="3" t="s">
        <v>426</v>
      </c>
      <c r="K26" s="3" t="s">
        <v>427</v>
      </c>
      <c r="L26" s="3" t="s">
        <v>428</v>
      </c>
      <c r="M26" s="3" t="s">
        <v>429</v>
      </c>
      <c r="N26" s="3" t="s">
        <v>430</v>
      </c>
      <c r="O26" s="3" t="s">
        <v>431</v>
      </c>
    </row>
    <row r="27" spans="1:15">
      <c r="A27" s="3" t="s">
        <v>432</v>
      </c>
      <c r="B27" s="3" t="s">
        <v>433</v>
      </c>
      <c r="C27" s="3" t="s">
        <v>434</v>
      </c>
      <c r="D27" s="3" t="s">
        <v>435</v>
      </c>
      <c r="E27" s="3" t="s">
        <v>436</v>
      </c>
      <c r="F27" s="3" t="s">
        <v>437</v>
      </c>
      <c r="G27" s="3" t="s">
        <v>438</v>
      </c>
      <c r="H27" s="3" t="s">
        <v>439</v>
      </c>
      <c r="I27" s="3" t="s">
        <v>440</v>
      </c>
      <c r="J27" s="3" t="s">
        <v>441</v>
      </c>
      <c r="K27" s="3" t="s">
        <v>442</v>
      </c>
      <c r="L27" s="3" t="s">
        <v>443</v>
      </c>
      <c r="M27" s="3" t="s">
        <v>444</v>
      </c>
      <c r="N27" s="3" t="s">
        <v>445</v>
      </c>
      <c r="O27" s="3" t="s">
        <v>446</v>
      </c>
    </row>
    <row r="28" spans="1:15">
      <c r="A28" s="3" t="s">
        <v>447</v>
      </c>
      <c r="B28" s="3" t="s">
        <v>448</v>
      </c>
      <c r="C28" s="3" t="s">
        <v>449</v>
      </c>
      <c r="D28" s="3" t="s">
        <v>450</v>
      </c>
      <c r="E28" s="3" t="s">
        <v>451</v>
      </c>
      <c r="F28" s="3" t="s">
        <v>452</v>
      </c>
      <c r="G28" s="3" t="s">
        <v>453</v>
      </c>
      <c r="H28" s="3" t="s">
        <v>454</v>
      </c>
      <c r="I28" s="3" t="s">
        <v>455</v>
      </c>
      <c r="J28" s="3" t="s">
        <v>456</v>
      </c>
      <c r="K28" s="3" t="s">
        <v>457</v>
      </c>
      <c r="L28" s="3" t="s">
        <v>458</v>
      </c>
      <c r="M28" s="3" t="s">
        <v>459</v>
      </c>
      <c r="N28" s="3" t="s">
        <v>460</v>
      </c>
      <c r="O28" s="3" t="s">
        <v>461</v>
      </c>
    </row>
    <row r="29" spans="1:15">
      <c r="A29" s="3" t="s">
        <v>462</v>
      </c>
      <c r="B29" s="3" t="s">
        <v>463</v>
      </c>
      <c r="C29" s="3" t="s">
        <v>464</v>
      </c>
      <c r="D29" s="3" t="s">
        <v>465</v>
      </c>
      <c r="E29" s="3" t="s">
        <v>466</v>
      </c>
      <c r="F29" s="3" t="s">
        <v>467</v>
      </c>
      <c r="G29" s="3" t="s">
        <v>468</v>
      </c>
      <c r="H29" s="3" t="s">
        <v>469</v>
      </c>
      <c r="I29" s="3" t="s">
        <v>470</v>
      </c>
      <c r="J29" s="3" t="s">
        <v>471</v>
      </c>
      <c r="K29" s="3" t="s">
        <v>472</v>
      </c>
      <c r="L29" s="3" t="s">
        <v>473</v>
      </c>
      <c r="M29" s="3" t="s">
        <v>474</v>
      </c>
      <c r="N29" s="3" t="s">
        <v>475</v>
      </c>
      <c r="O29" s="3" t="s">
        <v>476</v>
      </c>
    </row>
    <row r="30" spans="1:15">
      <c r="A30" s="3" t="s">
        <v>477</v>
      </c>
      <c r="B30" s="3" t="s">
        <v>478</v>
      </c>
      <c r="C30" s="3" t="s">
        <v>479</v>
      </c>
      <c r="D30" s="3" t="s">
        <v>480</v>
      </c>
      <c r="E30" s="3" t="s">
        <v>481</v>
      </c>
      <c r="F30" s="3" t="s">
        <v>482</v>
      </c>
      <c r="G30" s="3" t="s">
        <v>483</v>
      </c>
      <c r="H30" s="3" t="s">
        <v>484</v>
      </c>
      <c r="I30" s="3" t="s">
        <v>485</v>
      </c>
      <c r="J30" s="3" t="s">
        <v>486</v>
      </c>
      <c r="K30" s="3" t="s">
        <v>487</v>
      </c>
      <c r="L30" s="3" t="s">
        <v>488</v>
      </c>
      <c r="M30" s="3" t="s">
        <v>489</v>
      </c>
      <c r="N30" s="3" t="s">
        <v>490</v>
      </c>
      <c r="O30" s="3" t="s">
        <v>491</v>
      </c>
    </row>
    <row r="31" spans="1:15">
      <c r="A31" s="3" t="s">
        <v>492</v>
      </c>
      <c r="B31" s="3" t="s">
        <v>493</v>
      </c>
      <c r="C31" s="3" t="s">
        <v>494</v>
      </c>
      <c r="D31" s="3" t="s">
        <v>495</v>
      </c>
      <c r="E31" s="3" t="s">
        <v>496</v>
      </c>
      <c r="F31" s="3" t="s">
        <v>497</v>
      </c>
      <c r="G31" s="3" t="s">
        <v>498</v>
      </c>
      <c r="H31" s="3" t="s">
        <v>499</v>
      </c>
      <c r="I31" s="3" t="s">
        <v>500</v>
      </c>
      <c r="J31" s="3" t="s">
        <v>501</v>
      </c>
      <c r="K31" s="3" t="s">
        <v>502</v>
      </c>
      <c r="L31" s="3" t="s">
        <v>503</v>
      </c>
      <c r="M31" s="3" t="s">
        <v>504</v>
      </c>
      <c r="N31" s="3" t="s">
        <v>505</v>
      </c>
      <c r="O31" s="3" t="s">
        <v>506</v>
      </c>
    </row>
    <row r="32" spans="1:15">
      <c r="A32" s="3" t="s">
        <v>507</v>
      </c>
      <c r="B32" s="3" t="s">
        <v>508</v>
      </c>
      <c r="C32" s="3" t="s">
        <v>509</v>
      </c>
      <c r="D32" s="3" t="s">
        <v>510</v>
      </c>
      <c r="E32" s="3" t="s">
        <v>511</v>
      </c>
      <c r="F32" s="3" t="s">
        <v>512</v>
      </c>
      <c r="G32" s="3" t="s">
        <v>513</v>
      </c>
      <c r="H32" s="3" t="s">
        <v>514</v>
      </c>
      <c r="I32" s="3" t="s">
        <v>515</v>
      </c>
      <c r="J32" s="3" t="s">
        <v>516</v>
      </c>
      <c r="K32" s="3" t="s">
        <v>517</v>
      </c>
      <c r="L32" s="3" t="s">
        <v>518</v>
      </c>
      <c r="M32" s="3" t="s">
        <v>519</v>
      </c>
      <c r="N32" s="3" t="s">
        <v>520</v>
      </c>
      <c r="O32" s="3" t="s">
        <v>521</v>
      </c>
    </row>
    <row r="33" spans="1:15">
      <c r="A33" s="3" t="s">
        <v>522</v>
      </c>
      <c r="B33" s="3" t="s">
        <v>523</v>
      </c>
      <c r="C33" s="3" t="s">
        <v>524</v>
      </c>
      <c r="D33" s="3" t="s">
        <v>525</v>
      </c>
      <c r="E33" s="3" t="s">
        <v>526</v>
      </c>
      <c r="F33" s="3" t="s">
        <v>527</v>
      </c>
      <c r="G33" s="3" t="s">
        <v>528</v>
      </c>
      <c r="H33" s="3" t="s">
        <v>529</v>
      </c>
      <c r="I33" s="3" t="s">
        <v>530</v>
      </c>
      <c r="J33" s="3" t="s">
        <v>531</v>
      </c>
      <c r="K33" s="3" t="s">
        <v>532</v>
      </c>
      <c r="L33" s="3" t="s">
        <v>533</v>
      </c>
      <c r="M33" s="3" t="s">
        <v>534</v>
      </c>
      <c r="N33" s="3" t="s">
        <v>535</v>
      </c>
      <c r="O33" s="3" t="s">
        <v>536</v>
      </c>
    </row>
    <row r="34" spans="1:15">
      <c r="A34" s="3" t="s">
        <v>537</v>
      </c>
      <c r="B34" s="3" t="s">
        <v>538</v>
      </c>
      <c r="C34" s="3" t="s">
        <v>539</v>
      </c>
      <c r="D34" s="3" t="s">
        <v>540</v>
      </c>
      <c r="E34" s="3" t="s">
        <v>541</v>
      </c>
      <c r="F34" s="3" t="s">
        <v>542</v>
      </c>
      <c r="G34" s="3" t="s">
        <v>543</v>
      </c>
      <c r="H34" s="3" t="s">
        <v>544</v>
      </c>
      <c r="I34" s="3" t="s">
        <v>545</v>
      </c>
      <c r="J34" s="3" t="s">
        <v>546</v>
      </c>
      <c r="K34" s="3" t="s">
        <v>547</v>
      </c>
      <c r="L34" s="3" t="s">
        <v>548</v>
      </c>
      <c r="M34" s="3" t="s">
        <v>549</v>
      </c>
      <c r="N34" s="3" t="s">
        <v>550</v>
      </c>
      <c r="O34" s="3" t="s">
        <v>551</v>
      </c>
    </row>
    <row r="35" spans="1:15">
      <c r="A35" s="3" t="s">
        <v>552</v>
      </c>
      <c r="B35" s="3" t="s">
        <v>553</v>
      </c>
      <c r="C35" s="3" t="s">
        <v>539</v>
      </c>
      <c r="D35" s="3" t="s">
        <v>554</v>
      </c>
      <c r="E35" s="3" t="s">
        <v>555</v>
      </c>
      <c r="F35" s="3" t="s">
        <v>556</v>
      </c>
      <c r="G35" s="3" t="s">
        <v>557</v>
      </c>
      <c r="H35" s="3" t="s">
        <v>558</v>
      </c>
      <c r="I35" s="3" t="s">
        <v>559</v>
      </c>
      <c r="J35" s="3" t="s">
        <v>560</v>
      </c>
      <c r="K35" s="3" t="s">
        <v>561</v>
      </c>
      <c r="L35" s="3" t="s">
        <v>562</v>
      </c>
      <c r="M35" s="3" t="s">
        <v>563</v>
      </c>
      <c r="N35" s="3" t="s">
        <v>564</v>
      </c>
      <c r="O35" s="3" t="s">
        <v>565</v>
      </c>
    </row>
    <row r="36" spans="1:15">
      <c r="A36" s="3" t="s">
        <v>566</v>
      </c>
      <c r="B36" s="3" t="s">
        <v>567</v>
      </c>
      <c r="C36" s="3" t="s">
        <v>539</v>
      </c>
      <c r="D36" s="3" t="s">
        <v>568</v>
      </c>
      <c r="E36" s="3" t="s">
        <v>569</v>
      </c>
      <c r="F36" s="3" t="s">
        <v>570</v>
      </c>
      <c r="G36" s="3" t="s">
        <v>571</v>
      </c>
      <c r="H36" s="3" t="s">
        <v>572</v>
      </c>
      <c r="I36" s="3" t="s">
        <v>573</v>
      </c>
      <c r="J36" s="3" t="s">
        <v>574</v>
      </c>
      <c r="K36" s="3" t="s">
        <v>575</v>
      </c>
      <c r="L36" s="3" t="s">
        <v>576</v>
      </c>
      <c r="M36" s="3" t="s">
        <v>577</v>
      </c>
      <c r="N36" s="3" t="s">
        <v>578</v>
      </c>
      <c r="O36" s="3" t="s">
        <v>579</v>
      </c>
    </row>
    <row r="37" spans="1:15">
      <c r="A37" s="3" t="s">
        <v>580</v>
      </c>
      <c r="B37" s="3" t="s">
        <v>581</v>
      </c>
      <c r="C37" s="3" t="s">
        <v>539</v>
      </c>
      <c r="D37" s="3" t="s">
        <v>582</v>
      </c>
      <c r="E37" s="3" t="s">
        <v>583</v>
      </c>
      <c r="F37" s="3" t="s">
        <v>584</v>
      </c>
      <c r="G37" s="3" t="s">
        <v>585</v>
      </c>
      <c r="H37" s="3" t="s">
        <v>586</v>
      </c>
      <c r="I37" s="3" t="s">
        <v>587</v>
      </c>
      <c r="J37" s="3" t="s">
        <v>588</v>
      </c>
      <c r="K37" s="3" t="s">
        <v>589</v>
      </c>
      <c r="L37" s="3" t="s">
        <v>590</v>
      </c>
      <c r="M37" s="3" t="s">
        <v>591</v>
      </c>
      <c r="N37" s="3" t="s">
        <v>592</v>
      </c>
      <c r="O37" s="3" t="s">
        <v>593</v>
      </c>
    </row>
    <row r="38" spans="1:15">
      <c r="A38" s="3" t="s">
        <v>594</v>
      </c>
      <c r="B38" s="3" t="s">
        <v>595</v>
      </c>
      <c r="C38" s="3" t="s">
        <v>539</v>
      </c>
      <c r="D38" s="3" t="s">
        <v>596</v>
      </c>
      <c r="E38" s="3" t="s">
        <v>597</v>
      </c>
      <c r="F38" s="3" t="s">
        <v>598</v>
      </c>
      <c r="G38" s="3" t="s">
        <v>599</v>
      </c>
      <c r="H38" s="3" t="s">
        <v>600</v>
      </c>
      <c r="I38" s="3" t="s">
        <v>601</v>
      </c>
      <c r="J38" s="3" t="s">
        <v>602</v>
      </c>
      <c r="K38" s="3" t="s">
        <v>603</v>
      </c>
      <c r="L38" s="3" t="s">
        <v>604</v>
      </c>
      <c r="M38" s="3" t="s">
        <v>605</v>
      </c>
      <c r="N38" s="3" t="s">
        <v>606</v>
      </c>
      <c r="O38" s="3" t="s">
        <v>607</v>
      </c>
    </row>
    <row r="39" spans="1:15">
      <c r="A39" s="3" t="s">
        <v>608</v>
      </c>
      <c r="B39" s="3" t="s">
        <v>609</v>
      </c>
      <c r="C39" s="3" t="s">
        <v>539</v>
      </c>
      <c r="D39" s="3" t="s">
        <v>610</v>
      </c>
      <c r="E39" s="3" t="s">
        <v>611</v>
      </c>
      <c r="F39" s="3" t="s">
        <v>612</v>
      </c>
      <c r="G39" s="3" t="s">
        <v>613</v>
      </c>
      <c r="H39" s="3" t="s">
        <v>614</v>
      </c>
      <c r="I39" s="3" t="s">
        <v>615</v>
      </c>
      <c r="J39" s="3" t="s">
        <v>616</v>
      </c>
      <c r="K39" s="3" t="s">
        <v>617</v>
      </c>
      <c r="L39" s="3" t="s">
        <v>618</v>
      </c>
      <c r="M39" s="3" t="s">
        <v>619</v>
      </c>
      <c r="N39" s="3" t="s">
        <v>620</v>
      </c>
      <c r="O39" s="3" t="s">
        <v>621</v>
      </c>
    </row>
    <row r="40" spans="1:15">
      <c r="A40" s="3" t="s">
        <v>622</v>
      </c>
      <c r="B40" s="3" t="s">
        <v>623</v>
      </c>
      <c r="C40" s="3" t="s">
        <v>539</v>
      </c>
      <c r="D40" s="3" t="s">
        <v>624</v>
      </c>
      <c r="E40" s="3" t="s">
        <v>625</v>
      </c>
      <c r="F40" s="3" t="s">
        <v>626</v>
      </c>
      <c r="G40" s="3" t="s">
        <v>627</v>
      </c>
      <c r="H40" s="3" t="s">
        <v>628</v>
      </c>
      <c r="I40" s="3" t="s">
        <v>629</v>
      </c>
      <c r="J40" s="3" t="s">
        <v>630</v>
      </c>
      <c r="K40" s="3" t="s">
        <v>631</v>
      </c>
      <c r="L40" s="3" t="s">
        <v>632</v>
      </c>
      <c r="M40" s="3" t="s">
        <v>633</v>
      </c>
      <c r="N40" s="3" t="s">
        <v>634</v>
      </c>
      <c r="O40" s="3" t="s">
        <v>635</v>
      </c>
    </row>
    <row r="41" spans="1:15">
      <c r="A41" s="3" t="s">
        <v>636</v>
      </c>
      <c r="B41" s="3" t="s">
        <v>637</v>
      </c>
      <c r="C41" s="3" t="s">
        <v>539</v>
      </c>
      <c r="D41" s="3" t="s">
        <v>638</v>
      </c>
      <c r="E41" s="3" t="s">
        <v>639</v>
      </c>
      <c r="F41" s="3" t="s">
        <v>640</v>
      </c>
      <c r="G41" s="3" t="s">
        <v>641</v>
      </c>
      <c r="H41" s="3" t="s">
        <v>642</v>
      </c>
      <c r="I41" s="3" t="s">
        <v>643</v>
      </c>
      <c r="J41" s="3" t="s">
        <v>644</v>
      </c>
      <c r="K41" s="3" t="s">
        <v>645</v>
      </c>
      <c r="L41" s="3" t="s">
        <v>646</v>
      </c>
      <c r="M41" s="3" t="s">
        <v>221</v>
      </c>
      <c r="N41" s="3" t="s">
        <v>647</v>
      </c>
      <c r="O41" s="3" t="s">
        <v>648</v>
      </c>
    </row>
    <row r="42" spans="1:15">
      <c r="A42" s="3" t="s">
        <v>649</v>
      </c>
      <c r="B42" s="3" t="s">
        <v>650</v>
      </c>
      <c r="C42" s="3" t="s">
        <v>539</v>
      </c>
      <c r="D42" s="3" t="s">
        <v>651</v>
      </c>
      <c r="E42" s="3" t="s">
        <v>652</v>
      </c>
      <c r="F42" s="3" t="s">
        <v>653</v>
      </c>
      <c r="G42" s="3" t="s">
        <v>654</v>
      </c>
      <c r="H42" s="3" t="s">
        <v>655</v>
      </c>
      <c r="I42" s="3" t="s">
        <v>656</v>
      </c>
      <c r="J42" s="3" t="s">
        <v>657</v>
      </c>
      <c r="K42" s="3" t="s">
        <v>658</v>
      </c>
      <c r="L42" s="3" t="s">
        <v>659</v>
      </c>
      <c r="M42" s="3" t="s">
        <v>660</v>
      </c>
      <c r="N42" s="3" t="s">
        <v>661</v>
      </c>
      <c r="O42" s="3" t="s">
        <v>662</v>
      </c>
    </row>
    <row r="43" spans="1:15">
      <c r="A43" s="3" t="s">
        <v>663</v>
      </c>
      <c r="B43" s="3" t="s">
        <v>664</v>
      </c>
      <c r="C43" s="3" t="s">
        <v>539</v>
      </c>
      <c r="D43" s="3" t="s">
        <v>665</v>
      </c>
      <c r="E43" s="3" t="s">
        <v>666</v>
      </c>
      <c r="F43" s="3" t="s">
        <v>667</v>
      </c>
      <c r="G43" s="3" t="s">
        <v>668</v>
      </c>
      <c r="H43" s="3" t="s">
        <v>669</v>
      </c>
      <c r="I43" s="3" t="s">
        <v>670</v>
      </c>
      <c r="J43" s="3" t="s">
        <v>671</v>
      </c>
      <c r="K43" s="3" t="s">
        <v>672</v>
      </c>
      <c r="L43" s="3" t="s">
        <v>673</v>
      </c>
      <c r="M43" s="3" t="s">
        <v>674</v>
      </c>
      <c r="N43" s="3" t="s">
        <v>675</v>
      </c>
      <c r="O43" s="3" t="s">
        <v>676</v>
      </c>
    </row>
    <row r="44" spans="1:15">
      <c r="A44" s="3" t="s">
        <v>677</v>
      </c>
      <c r="B44" s="3" t="s">
        <v>678</v>
      </c>
      <c r="C44" s="3" t="s">
        <v>539</v>
      </c>
      <c r="D44" s="3" t="s">
        <v>679</v>
      </c>
      <c r="E44" s="3" t="s">
        <v>680</v>
      </c>
      <c r="F44" s="3" t="s">
        <v>681</v>
      </c>
      <c r="G44" s="3" t="s">
        <v>682</v>
      </c>
      <c r="H44" s="3" t="s">
        <v>683</v>
      </c>
      <c r="I44" s="3" t="s">
        <v>684</v>
      </c>
      <c r="J44" s="3" t="s">
        <v>685</v>
      </c>
      <c r="K44" s="3" t="s">
        <v>686</v>
      </c>
      <c r="L44" s="3" t="s">
        <v>687</v>
      </c>
      <c r="M44" s="3" t="s">
        <v>688</v>
      </c>
      <c r="N44" s="3" t="s">
        <v>689</v>
      </c>
      <c r="O44" s="3" t="s">
        <v>690</v>
      </c>
    </row>
    <row r="45" spans="1:15">
      <c r="A45" s="3" t="s">
        <v>691</v>
      </c>
      <c r="B45" s="3" t="s">
        <v>692</v>
      </c>
      <c r="C45" s="3" t="s">
        <v>539</v>
      </c>
      <c r="D45" s="3" t="s">
        <v>693</v>
      </c>
      <c r="E45" s="3" t="s">
        <v>694</v>
      </c>
      <c r="F45" s="3" t="s">
        <v>695</v>
      </c>
      <c r="G45" s="3" t="s">
        <v>696</v>
      </c>
      <c r="H45" s="3" t="s">
        <v>697</v>
      </c>
      <c r="I45" s="3" t="s">
        <v>698</v>
      </c>
      <c r="J45" s="3" t="s">
        <v>699</v>
      </c>
      <c r="K45" s="3" t="s">
        <v>700</v>
      </c>
      <c r="L45" s="3" t="s">
        <v>701</v>
      </c>
      <c r="M45" s="3" t="s">
        <v>702</v>
      </c>
      <c r="N45" s="3" t="s">
        <v>703</v>
      </c>
      <c r="O45" s="3" t="s">
        <v>704</v>
      </c>
    </row>
    <row r="46" spans="1:15">
      <c r="A46" s="3" t="s">
        <v>705</v>
      </c>
      <c r="B46" s="3" t="s">
        <v>706</v>
      </c>
      <c r="C46" s="3" t="s">
        <v>539</v>
      </c>
      <c r="D46" s="3" t="s">
        <v>707</v>
      </c>
      <c r="E46" s="3" t="s">
        <v>708</v>
      </c>
      <c r="F46" s="3" t="s">
        <v>709</v>
      </c>
      <c r="G46" s="3" t="s">
        <v>710</v>
      </c>
      <c r="H46" s="3" t="s">
        <v>711</v>
      </c>
      <c r="I46" s="3" t="s">
        <v>712</v>
      </c>
      <c r="J46" s="3" t="s">
        <v>713</v>
      </c>
      <c r="K46" s="3" t="s">
        <v>714</v>
      </c>
      <c r="L46" s="3" t="s">
        <v>715</v>
      </c>
      <c r="M46" s="3" t="s">
        <v>716</v>
      </c>
      <c r="N46" s="3" t="s">
        <v>717</v>
      </c>
      <c r="O46" s="3" t="s">
        <v>718</v>
      </c>
    </row>
    <row r="47" spans="1:15">
      <c r="A47" s="3" t="s">
        <v>719</v>
      </c>
      <c r="B47" s="3" t="s">
        <v>720</v>
      </c>
      <c r="C47" s="3" t="s">
        <v>539</v>
      </c>
      <c r="D47" s="3" t="s">
        <v>721</v>
      </c>
      <c r="E47" s="3" t="s">
        <v>722</v>
      </c>
      <c r="F47" s="3" t="s">
        <v>723</v>
      </c>
      <c r="G47" s="3" t="s">
        <v>724</v>
      </c>
      <c r="H47" s="3" t="s">
        <v>725</v>
      </c>
      <c r="I47" s="3" t="s">
        <v>726</v>
      </c>
      <c r="J47" s="3" t="s">
        <v>727</v>
      </c>
      <c r="K47" s="3" t="s">
        <v>728</v>
      </c>
      <c r="L47" s="3" t="s">
        <v>729</v>
      </c>
      <c r="M47" s="3" t="s">
        <v>730</v>
      </c>
      <c r="N47" s="3" t="s">
        <v>731</v>
      </c>
      <c r="O47" s="3" t="s">
        <v>732</v>
      </c>
    </row>
    <row r="48" spans="1:15">
      <c r="A48" s="3" t="s">
        <v>733</v>
      </c>
      <c r="B48" s="3" t="s">
        <v>734</v>
      </c>
      <c r="C48" s="3" t="s">
        <v>539</v>
      </c>
      <c r="D48" s="3" t="s">
        <v>735</v>
      </c>
      <c r="E48" s="3" t="s">
        <v>736</v>
      </c>
      <c r="F48" s="3" t="s">
        <v>737</v>
      </c>
      <c r="G48" s="3" t="s">
        <v>738</v>
      </c>
      <c r="H48" s="3" t="s">
        <v>739</v>
      </c>
      <c r="I48" s="3" t="s">
        <v>740</v>
      </c>
      <c r="J48" s="3" t="s">
        <v>741</v>
      </c>
      <c r="K48" s="3" t="s">
        <v>742</v>
      </c>
      <c r="L48" s="3" t="s">
        <v>743</v>
      </c>
      <c r="M48" s="3" t="s">
        <v>744</v>
      </c>
      <c r="N48" s="3" t="s">
        <v>745</v>
      </c>
      <c r="O48" s="3" t="s">
        <v>746</v>
      </c>
    </row>
    <row r="49" spans="1:15">
      <c r="A49" s="3" t="s">
        <v>747</v>
      </c>
      <c r="B49" s="3" t="s">
        <v>748</v>
      </c>
      <c r="C49" s="3" t="s">
        <v>539</v>
      </c>
      <c r="D49" s="3" t="s">
        <v>749</v>
      </c>
      <c r="E49" s="3" t="s">
        <v>750</v>
      </c>
      <c r="F49" s="3" t="s">
        <v>751</v>
      </c>
      <c r="G49" s="3" t="s">
        <v>752</v>
      </c>
      <c r="H49" s="3" t="s">
        <v>753</v>
      </c>
      <c r="I49" s="3" t="s">
        <v>754</v>
      </c>
      <c r="J49" s="3" t="s">
        <v>755</v>
      </c>
      <c r="K49" s="3" t="s">
        <v>756</v>
      </c>
      <c r="L49" s="3" t="s">
        <v>757</v>
      </c>
      <c r="M49" s="3" t="s">
        <v>758</v>
      </c>
      <c r="N49" s="3" t="s">
        <v>759</v>
      </c>
      <c r="O49" s="3" t="s">
        <v>760</v>
      </c>
    </row>
    <row r="50" spans="1:15">
      <c r="A50" s="3" t="s">
        <v>761</v>
      </c>
      <c r="B50" s="3" t="s">
        <v>762</v>
      </c>
      <c r="C50" s="3" t="s">
        <v>539</v>
      </c>
      <c r="D50" s="3" t="s">
        <v>763</v>
      </c>
      <c r="E50" s="3" t="s">
        <v>764</v>
      </c>
      <c r="F50" s="3" t="s">
        <v>765</v>
      </c>
      <c r="G50" s="3" t="s">
        <v>766</v>
      </c>
      <c r="H50" s="3" t="s">
        <v>767</v>
      </c>
      <c r="I50" s="3" t="s">
        <v>768</v>
      </c>
      <c r="J50" s="3" t="s">
        <v>769</v>
      </c>
      <c r="K50" s="3" t="s">
        <v>770</v>
      </c>
      <c r="L50" s="3" t="s">
        <v>771</v>
      </c>
      <c r="M50" s="3" t="s">
        <v>772</v>
      </c>
      <c r="N50" s="3" t="s">
        <v>773</v>
      </c>
      <c r="O50" s="3" t="s">
        <v>774</v>
      </c>
    </row>
    <row r="51" spans="1:15">
      <c r="A51" s="3" t="s">
        <v>775</v>
      </c>
      <c r="B51" s="3" t="s">
        <v>776</v>
      </c>
      <c r="C51" s="3" t="s">
        <v>539</v>
      </c>
      <c r="D51" s="3" t="s">
        <v>777</v>
      </c>
      <c r="E51" s="3" t="s">
        <v>778</v>
      </c>
      <c r="F51" s="3" t="s">
        <v>779</v>
      </c>
      <c r="G51" s="3" t="s">
        <v>780</v>
      </c>
      <c r="H51" s="3" t="s">
        <v>781</v>
      </c>
      <c r="I51" s="3" t="s">
        <v>782</v>
      </c>
      <c r="J51" s="3" t="s">
        <v>783</v>
      </c>
      <c r="K51" s="3" t="s">
        <v>784</v>
      </c>
      <c r="L51" s="3" t="s">
        <v>785</v>
      </c>
      <c r="M51" s="3" t="s">
        <v>786</v>
      </c>
      <c r="N51" s="3" t="s">
        <v>787</v>
      </c>
      <c r="O51" s="3" t="s">
        <v>788</v>
      </c>
    </row>
    <row r="52" spans="1:15">
      <c r="A52" s="3" t="s">
        <v>789</v>
      </c>
      <c r="B52" s="3" t="s">
        <v>790</v>
      </c>
      <c r="C52" s="3" t="s">
        <v>791</v>
      </c>
      <c r="D52" s="3" t="s">
        <v>792</v>
      </c>
      <c r="E52" s="3" t="s">
        <v>793</v>
      </c>
      <c r="F52" s="3" t="s">
        <v>794</v>
      </c>
      <c r="G52" s="3" t="s">
        <v>795</v>
      </c>
      <c r="H52" s="3" t="s">
        <v>796</v>
      </c>
      <c r="I52" s="3" t="s">
        <v>797</v>
      </c>
      <c r="J52" s="3" t="s">
        <v>798</v>
      </c>
      <c r="K52" s="3" t="s">
        <v>799</v>
      </c>
      <c r="L52" s="3" t="s">
        <v>800</v>
      </c>
      <c r="M52" s="3" t="s">
        <v>801</v>
      </c>
      <c r="N52" s="3" t="s">
        <v>802</v>
      </c>
      <c r="O52" s="3" t="s">
        <v>803</v>
      </c>
    </row>
    <row r="53" spans="1:15">
      <c r="A53" s="3" t="s">
        <v>804</v>
      </c>
      <c r="B53" s="3" t="s">
        <v>805</v>
      </c>
      <c r="C53" s="3" t="s">
        <v>806</v>
      </c>
      <c r="D53" s="3" t="s">
        <v>807</v>
      </c>
      <c r="E53" s="3" t="s">
        <v>808</v>
      </c>
      <c r="F53" s="3" t="s">
        <v>809</v>
      </c>
      <c r="G53" s="3" t="s">
        <v>810</v>
      </c>
      <c r="H53" s="3" t="s">
        <v>811</v>
      </c>
      <c r="I53" s="3" t="s">
        <v>812</v>
      </c>
      <c r="J53" s="3" t="s">
        <v>813</v>
      </c>
      <c r="K53" s="3" t="s">
        <v>814</v>
      </c>
      <c r="L53" s="3" t="s">
        <v>815</v>
      </c>
      <c r="M53" s="3" t="s">
        <v>221</v>
      </c>
      <c r="N53" s="3" t="s">
        <v>816</v>
      </c>
      <c r="O53" s="3" t="s">
        <v>817</v>
      </c>
    </row>
    <row r="54" spans="1:15">
      <c r="A54" s="3" t="s">
        <v>818</v>
      </c>
      <c r="B54" s="3" t="s">
        <v>819</v>
      </c>
      <c r="C54" s="3" t="s">
        <v>820</v>
      </c>
      <c r="D54" s="3" t="s">
        <v>821</v>
      </c>
      <c r="E54" s="3" t="s">
        <v>822</v>
      </c>
      <c r="F54" s="3" t="s">
        <v>823</v>
      </c>
      <c r="G54" s="3" t="s">
        <v>824</v>
      </c>
      <c r="H54" s="3" t="s">
        <v>825</v>
      </c>
      <c r="I54" s="3" t="s">
        <v>826</v>
      </c>
      <c r="J54" s="3" t="s">
        <v>827</v>
      </c>
      <c r="K54" s="3" t="s">
        <v>828</v>
      </c>
      <c r="L54" s="3" t="s">
        <v>829</v>
      </c>
      <c r="M54" s="3" t="s">
        <v>830</v>
      </c>
      <c r="N54" s="3" t="s">
        <v>831</v>
      </c>
      <c r="O54" s="3" t="s">
        <v>832</v>
      </c>
    </row>
    <row r="55" spans="1:15">
      <c r="A55" s="3" t="s">
        <v>833</v>
      </c>
      <c r="B55" s="3" t="s">
        <v>834</v>
      </c>
      <c r="C55" s="3" t="s">
        <v>835</v>
      </c>
      <c r="D55" s="3" t="s">
        <v>836</v>
      </c>
      <c r="E55" s="3" t="s">
        <v>837</v>
      </c>
      <c r="F55" s="3" t="s">
        <v>838</v>
      </c>
      <c r="G55" s="3" t="s">
        <v>839</v>
      </c>
      <c r="H55" s="3" t="s">
        <v>840</v>
      </c>
      <c r="I55" s="3" t="s">
        <v>841</v>
      </c>
      <c r="J55" s="3" t="s">
        <v>842</v>
      </c>
      <c r="K55" s="3" t="s">
        <v>843</v>
      </c>
      <c r="L55" s="3" t="s">
        <v>844</v>
      </c>
      <c r="M55" s="3" t="s">
        <v>845</v>
      </c>
      <c r="N55" s="3" t="s">
        <v>846</v>
      </c>
      <c r="O55" s="3" t="s">
        <v>847</v>
      </c>
    </row>
    <row r="56" spans="1:15">
      <c r="A56" s="3" t="s">
        <v>848</v>
      </c>
      <c r="B56" s="3" t="s">
        <v>849</v>
      </c>
      <c r="C56" s="3" t="s">
        <v>835</v>
      </c>
      <c r="D56" s="3" t="s">
        <v>850</v>
      </c>
      <c r="E56" s="3" t="s">
        <v>851</v>
      </c>
      <c r="F56" s="3" t="s">
        <v>852</v>
      </c>
      <c r="G56" s="3" t="s">
        <v>853</v>
      </c>
      <c r="H56" s="3" t="s">
        <v>854</v>
      </c>
      <c r="I56" s="3" t="s">
        <v>855</v>
      </c>
      <c r="J56" s="3" t="s">
        <v>856</v>
      </c>
      <c r="K56" s="3" t="s">
        <v>857</v>
      </c>
      <c r="L56" s="3" t="s">
        <v>858</v>
      </c>
      <c r="M56" s="3" t="s">
        <v>859</v>
      </c>
      <c r="N56" s="3" t="s">
        <v>860</v>
      </c>
      <c r="O56" s="3" t="s">
        <v>861</v>
      </c>
    </row>
    <row r="57" spans="1:15">
      <c r="A57" s="3" t="s">
        <v>862</v>
      </c>
      <c r="B57" s="3" t="s">
        <v>863</v>
      </c>
      <c r="C57" s="3" t="s">
        <v>835</v>
      </c>
      <c r="D57" s="3" t="s">
        <v>864</v>
      </c>
      <c r="E57" s="3" t="s">
        <v>865</v>
      </c>
      <c r="F57" s="3" t="s">
        <v>866</v>
      </c>
      <c r="G57" s="3" t="s">
        <v>867</v>
      </c>
      <c r="H57" s="3" t="s">
        <v>868</v>
      </c>
      <c r="I57" s="3" t="s">
        <v>869</v>
      </c>
      <c r="J57" s="3" t="s">
        <v>870</v>
      </c>
      <c r="K57" s="3" t="s">
        <v>871</v>
      </c>
      <c r="L57" s="3" t="s">
        <v>872</v>
      </c>
      <c r="M57" s="3" t="s">
        <v>873</v>
      </c>
      <c r="N57" s="3" t="s">
        <v>874</v>
      </c>
      <c r="O57" s="3" t="s">
        <v>875</v>
      </c>
    </row>
    <row r="58" spans="1:15">
      <c r="A58" s="3" t="s">
        <v>876</v>
      </c>
      <c r="B58" s="3" t="s">
        <v>877</v>
      </c>
      <c r="C58" s="3" t="s">
        <v>878</v>
      </c>
      <c r="D58" s="3" t="s">
        <v>879</v>
      </c>
      <c r="E58" s="3" t="s">
        <v>880</v>
      </c>
      <c r="F58" s="3" t="s">
        <v>881</v>
      </c>
      <c r="G58" s="3" t="s">
        <v>882</v>
      </c>
      <c r="H58" s="3" t="s">
        <v>883</v>
      </c>
      <c r="I58" s="3" t="s">
        <v>884</v>
      </c>
      <c r="J58" s="3" t="s">
        <v>885</v>
      </c>
      <c r="K58" s="3" t="s">
        <v>886</v>
      </c>
      <c r="L58" s="3" t="s">
        <v>887</v>
      </c>
      <c r="M58" s="3" t="s">
        <v>250</v>
      </c>
      <c r="N58" s="3" t="s">
        <v>888</v>
      </c>
      <c r="O58" s="3" t="s">
        <v>889</v>
      </c>
    </row>
    <row r="59" spans="1:15">
      <c r="A59" s="3" t="s">
        <v>890</v>
      </c>
      <c r="B59" s="3" t="s">
        <v>891</v>
      </c>
      <c r="C59" s="3" t="s">
        <v>892</v>
      </c>
      <c r="D59" s="3" t="s">
        <v>893</v>
      </c>
      <c r="E59" s="3" t="s">
        <v>894</v>
      </c>
      <c r="F59" s="3" t="s">
        <v>895</v>
      </c>
      <c r="G59" s="3" t="s">
        <v>896</v>
      </c>
      <c r="H59" s="3" t="s">
        <v>897</v>
      </c>
      <c r="I59" s="3" t="s">
        <v>898</v>
      </c>
      <c r="J59" s="3" t="s">
        <v>899</v>
      </c>
      <c r="K59" s="3" t="s">
        <v>900</v>
      </c>
      <c r="L59" s="3" t="s">
        <v>901</v>
      </c>
      <c r="M59" s="3" t="s">
        <v>902</v>
      </c>
      <c r="N59" s="3" t="s">
        <v>903</v>
      </c>
      <c r="O59" s="3" t="s">
        <v>904</v>
      </c>
    </row>
    <row r="60" spans="1:15">
      <c r="A60" s="3" t="s">
        <v>905</v>
      </c>
      <c r="B60" s="3" t="s">
        <v>906</v>
      </c>
      <c r="C60" s="3" t="s">
        <v>907</v>
      </c>
      <c r="D60" s="3" t="s">
        <v>908</v>
      </c>
      <c r="E60" s="3" t="s">
        <v>909</v>
      </c>
      <c r="F60" s="3" t="s">
        <v>910</v>
      </c>
      <c r="G60" s="3" t="s">
        <v>911</v>
      </c>
      <c r="H60" s="3" t="s">
        <v>912</v>
      </c>
      <c r="I60" s="3" t="s">
        <v>913</v>
      </c>
      <c r="J60" s="3" t="s">
        <v>914</v>
      </c>
      <c r="K60" s="3" t="s">
        <v>915</v>
      </c>
      <c r="L60" s="3" t="s">
        <v>916</v>
      </c>
      <c r="M60" s="3" t="s">
        <v>917</v>
      </c>
      <c r="N60" s="3" t="s">
        <v>918</v>
      </c>
      <c r="O60" s="3" t="s">
        <v>919</v>
      </c>
    </row>
    <row r="61" spans="1:15">
      <c r="A61" s="3" t="s">
        <v>920</v>
      </c>
      <c r="B61" s="3" t="s">
        <v>921</v>
      </c>
      <c r="C61" s="3" t="s">
        <v>907</v>
      </c>
      <c r="D61" s="3" t="s">
        <v>922</v>
      </c>
      <c r="E61" s="3" t="s">
        <v>923</v>
      </c>
      <c r="F61" s="3" t="s">
        <v>924</v>
      </c>
      <c r="G61" s="3" t="s">
        <v>925</v>
      </c>
      <c r="H61" s="3" t="s">
        <v>926</v>
      </c>
      <c r="I61" s="3" t="s">
        <v>927</v>
      </c>
      <c r="J61" s="3" t="s">
        <v>928</v>
      </c>
      <c r="K61" s="3" t="s">
        <v>929</v>
      </c>
      <c r="L61" s="3" t="s">
        <v>930</v>
      </c>
      <c r="M61" s="3" t="s">
        <v>931</v>
      </c>
      <c r="N61" s="3" t="s">
        <v>932</v>
      </c>
      <c r="O61" s="3" t="s">
        <v>933</v>
      </c>
    </row>
    <row r="62" spans="1:15">
      <c r="A62" s="3" t="s">
        <v>934</v>
      </c>
      <c r="B62" s="3" t="s">
        <v>935</v>
      </c>
      <c r="C62" s="3" t="s">
        <v>907</v>
      </c>
      <c r="D62" s="3" t="s">
        <v>936</v>
      </c>
      <c r="E62" s="3" t="s">
        <v>937</v>
      </c>
      <c r="F62" s="3" t="s">
        <v>938</v>
      </c>
      <c r="G62" s="3" t="s">
        <v>939</v>
      </c>
      <c r="H62" s="3" t="s">
        <v>940</v>
      </c>
      <c r="I62" s="3" t="s">
        <v>941</v>
      </c>
      <c r="J62" s="3" t="s">
        <v>942</v>
      </c>
      <c r="K62" s="3" t="s">
        <v>943</v>
      </c>
      <c r="L62" s="3" t="s">
        <v>944</v>
      </c>
      <c r="M62" s="3" t="s">
        <v>902</v>
      </c>
      <c r="N62" s="3" t="s">
        <v>945</v>
      </c>
      <c r="O62" s="3" t="s">
        <v>946</v>
      </c>
    </row>
    <row r="63" spans="1:15">
      <c r="A63" s="3" t="s">
        <v>947</v>
      </c>
      <c r="B63" s="3" t="s">
        <v>948</v>
      </c>
      <c r="C63" s="3" t="s">
        <v>949</v>
      </c>
      <c r="D63" s="3" t="s">
        <v>950</v>
      </c>
      <c r="E63" s="3" t="s">
        <v>951</v>
      </c>
      <c r="F63" s="3" t="s">
        <v>952</v>
      </c>
      <c r="G63" s="3" t="s">
        <v>953</v>
      </c>
      <c r="H63" s="3" t="s">
        <v>954</v>
      </c>
      <c r="I63" s="3" t="s">
        <v>955</v>
      </c>
      <c r="J63" s="3" t="s">
        <v>956</v>
      </c>
      <c r="K63" s="3" t="s">
        <v>957</v>
      </c>
      <c r="L63" s="3" t="s">
        <v>958</v>
      </c>
      <c r="M63" s="3" t="s">
        <v>959</v>
      </c>
      <c r="N63" s="3" t="s">
        <v>960</v>
      </c>
      <c r="O63" s="3" t="s">
        <v>961</v>
      </c>
    </row>
    <row r="64" spans="1:15">
      <c r="A64" s="3" t="s">
        <v>962</v>
      </c>
      <c r="B64" s="3" t="s">
        <v>963</v>
      </c>
      <c r="C64" s="3" t="s">
        <v>949</v>
      </c>
      <c r="D64" s="3" t="s">
        <v>964</v>
      </c>
      <c r="E64" s="3" t="s">
        <v>965</v>
      </c>
      <c r="F64" s="3" t="s">
        <v>966</v>
      </c>
      <c r="G64" s="3" t="s">
        <v>967</v>
      </c>
      <c r="H64" s="3" t="s">
        <v>968</v>
      </c>
      <c r="I64" s="3" t="s">
        <v>969</v>
      </c>
      <c r="J64" s="3" t="s">
        <v>970</v>
      </c>
      <c r="K64" s="3" t="s">
        <v>971</v>
      </c>
      <c r="L64" s="3" t="s">
        <v>972</v>
      </c>
      <c r="M64" s="3" t="s">
        <v>973</v>
      </c>
      <c r="N64" s="3" t="s">
        <v>974</v>
      </c>
      <c r="O64" s="3" t="s">
        <v>975</v>
      </c>
    </row>
    <row r="65" spans="1:15">
      <c r="A65" s="3" t="s">
        <v>976</v>
      </c>
      <c r="B65" s="3" t="s">
        <v>977</v>
      </c>
      <c r="C65" s="3" t="s">
        <v>978</v>
      </c>
      <c r="D65" s="3" t="s">
        <v>979</v>
      </c>
      <c r="E65" s="3" t="s">
        <v>980</v>
      </c>
      <c r="F65" s="3" t="s">
        <v>981</v>
      </c>
      <c r="G65" s="3" t="s">
        <v>982</v>
      </c>
      <c r="H65" s="3" t="s">
        <v>983</v>
      </c>
      <c r="I65" s="3" t="s">
        <v>984</v>
      </c>
      <c r="J65" s="3" t="s">
        <v>985</v>
      </c>
      <c r="K65" s="3" t="s">
        <v>986</v>
      </c>
      <c r="L65" s="3" t="s">
        <v>987</v>
      </c>
      <c r="M65" s="3" t="s">
        <v>988</v>
      </c>
      <c r="N65" s="3" t="s">
        <v>989</v>
      </c>
      <c r="O65" s="3" t="s">
        <v>990</v>
      </c>
    </row>
    <row r="66" spans="1:15">
      <c r="A66" s="3" t="s">
        <v>991</v>
      </c>
      <c r="B66" s="3" t="s">
        <v>992</v>
      </c>
      <c r="C66" s="3" t="s">
        <v>993</v>
      </c>
      <c r="D66" s="3" t="s">
        <v>994</v>
      </c>
      <c r="E66" s="3" t="s">
        <v>995</v>
      </c>
      <c r="F66" s="3" t="s">
        <v>996</v>
      </c>
      <c r="G66" s="3" t="s">
        <v>997</v>
      </c>
      <c r="H66" s="3" t="s">
        <v>998</v>
      </c>
      <c r="I66" s="3" t="s">
        <v>999</v>
      </c>
      <c r="J66" s="3" t="s">
        <v>1000</v>
      </c>
      <c r="K66" s="3" t="s">
        <v>1001</v>
      </c>
      <c r="L66" s="3" t="s">
        <v>1002</v>
      </c>
      <c r="M66" s="3" t="s">
        <v>1003</v>
      </c>
      <c r="N66" s="3" t="s">
        <v>1004</v>
      </c>
      <c r="O66" s="3" t="s">
        <v>1005</v>
      </c>
    </row>
    <row r="67" spans="1:15">
      <c r="A67" s="3" t="s">
        <v>1006</v>
      </c>
      <c r="B67" s="3" t="s">
        <v>1007</v>
      </c>
      <c r="C67" s="3" t="s">
        <v>993</v>
      </c>
      <c r="D67" s="3" t="s">
        <v>1008</v>
      </c>
      <c r="E67" s="3" t="s">
        <v>1009</v>
      </c>
      <c r="F67" s="3" t="s">
        <v>1010</v>
      </c>
      <c r="G67" s="3" t="s">
        <v>1011</v>
      </c>
      <c r="H67" s="3" t="s">
        <v>1012</v>
      </c>
      <c r="I67" s="3" t="s">
        <v>1013</v>
      </c>
      <c r="J67" s="3" t="s">
        <v>1014</v>
      </c>
      <c r="K67" s="3" t="s">
        <v>1015</v>
      </c>
      <c r="L67" s="3" t="s">
        <v>1016</v>
      </c>
      <c r="M67" s="3" t="s">
        <v>1017</v>
      </c>
      <c r="N67" s="3" t="s">
        <v>1018</v>
      </c>
      <c r="O67" s="3" t="s">
        <v>1019</v>
      </c>
    </row>
    <row r="68" spans="1:15">
      <c r="A68" s="3" t="s">
        <v>1020</v>
      </c>
      <c r="B68" s="3" t="s">
        <v>1021</v>
      </c>
      <c r="C68" s="3" t="s">
        <v>1022</v>
      </c>
      <c r="D68" s="3" t="s">
        <v>1023</v>
      </c>
      <c r="E68" s="3" t="s">
        <v>1024</v>
      </c>
      <c r="F68" s="3" t="s">
        <v>1025</v>
      </c>
      <c r="G68" s="3" t="s">
        <v>1026</v>
      </c>
      <c r="H68" s="3" t="s">
        <v>1027</v>
      </c>
      <c r="I68" s="3" t="s">
        <v>1028</v>
      </c>
      <c r="J68" s="3" t="s">
        <v>1029</v>
      </c>
      <c r="K68" s="3" t="s">
        <v>1030</v>
      </c>
      <c r="L68" s="3" t="s">
        <v>1031</v>
      </c>
      <c r="M68" s="3" t="s">
        <v>1032</v>
      </c>
      <c r="N68" s="3" t="s">
        <v>1033</v>
      </c>
      <c r="O68" s="3" t="s">
        <v>1034</v>
      </c>
    </row>
    <row r="69" spans="1:15">
      <c r="A69" s="3" t="s">
        <v>1035</v>
      </c>
      <c r="B69" s="3" t="s">
        <v>1036</v>
      </c>
      <c r="C69" s="3" t="s">
        <v>1037</v>
      </c>
      <c r="D69" s="3" t="s">
        <v>1038</v>
      </c>
      <c r="E69" s="3" t="s">
        <v>1039</v>
      </c>
      <c r="F69" s="3" t="s">
        <v>1040</v>
      </c>
      <c r="G69" s="3" t="s">
        <v>1041</v>
      </c>
      <c r="H69" s="3" t="s">
        <v>1042</v>
      </c>
      <c r="I69" s="3" t="s">
        <v>1043</v>
      </c>
      <c r="J69" s="3" t="s">
        <v>1044</v>
      </c>
      <c r="K69" s="3" t="s">
        <v>1045</v>
      </c>
      <c r="L69" s="3" t="s">
        <v>1046</v>
      </c>
      <c r="M69" s="3" t="s">
        <v>1047</v>
      </c>
      <c r="N69" s="3" t="s">
        <v>1048</v>
      </c>
      <c r="O69" s="3" t="s">
        <v>1049</v>
      </c>
    </row>
    <row r="70" spans="1:15">
      <c r="A70" s="3" t="s">
        <v>1050</v>
      </c>
      <c r="B70" s="3" t="s">
        <v>1051</v>
      </c>
      <c r="C70" s="3" t="s">
        <v>1037</v>
      </c>
      <c r="D70" s="3" t="s">
        <v>1052</v>
      </c>
      <c r="E70" s="3" t="s">
        <v>1053</v>
      </c>
      <c r="F70" s="3" t="s">
        <v>1054</v>
      </c>
      <c r="G70" s="3" t="s">
        <v>1055</v>
      </c>
      <c r="H70" s="3" t="s">
        <v>1056</v>
      </c>
      <c r="I70" s="3" t="s">
        <v>1057</v>
      </c>
      <c r="J70" s="3" t="s">
        <v>1058</v>
      </c>
      <c r="K70" s="3" t="s">
        <v>1059</v>
      </c>
      <c r="L70" s="3" t="s">
        <v>1060</v>
      </c>
      <c r="M70" s="3" t="s">
        <v>1061</v>
      </c>
      <c r="N70" s="3" t="s">
        <v>1062</v>
      </c>
      <c r="O70" s="3" t="s">
        <v>1063</v>
      </c>
    </row>
    <row r="71" spans="1:15">
      <c r="A71" s="3" t="s">
        <v>1064</v>
      </c>
      <c r="B71" s="3" t="s">
        <v>1065</v>
      </c>
      <c r="C71" s="3" t="s">
        <v>1066</v>
      </c>
      <c r="D71" s="3" t="s">
        <v>1067</v>
      </c>
      <c r="E71" s="3" t="s">
        <v>1068</v>
      </c>
      <c r="F71" s="3" t="s">
        <v>1069</v>
      </c>
      <c r="G71" s="3" t="s">
        <v>1070</v>
      </c>
      <c r="H71" s="3" t="s">
        <v>1071</v>
      </c>
      <c r="I71" s="3" t="s">
        <v>1072</v>
      </c>
      <c r="J71" s="3" t="s">
        <v>1073</v>
      </c>
      <c r="K71" s="3" t="s">
        <v>1074</v>
      </c>
      <c r="L71" s="3" t="s">
        <v>1075</v>
      </c>
      <c r="M71" s="3" t="s">
        <v>1076</v>
      </c>
      <c r="N71" s="3" t="s">
        <v>1077</v>
      </c>
      <c r="O71" s="3" t="s">
        <v>1078</v>
      </c>
    </row>
    <row r="72" spans="1:15">
      <c r="A72" s="3" t="s">
        <v>1079</v>
      </c>
      <c r="B72" s="3" t="s">
        <v>1080</v>
      </c>
      <c r="C72" s="3" t="s">
        <v>1066</v>
      </c>
      <c r="D72" s="3" t="s">
        <v>1081</v>
      </c>
      <c r="E72" s="3" t="s">
        <v>1082</v>
      </c>
      <c r="F72" s="3" t="s">
        <v>1083</v>
      </c>
      <c r="G72" s="3" t="s">
        <v>1084</v>
      </c>
      <c r="H72" s="3" t="s">
        <v>1085</v>
      </c>
      <c r="I72" s="3" t="s">
        <v>1086</v>
      </c>
      <c r="J72" s="3" t="s">
        <v>1087</v>
      </c>
      <c r="K72" s="3" t="s">
        <v>1088</v>
      </c>
      <c r="L72" s="3" t="s">
        <v>1089</v>
      </c>
      <c r="M72" s="3" t="s">
        <v>1090</v>
      </c>
      <c r="N72" s="3" t="s">
        <v>1091</v>
      </c>
      <c r="O72" s="3" t="s">
        <v>1092</v>
      </c>
    </row>
    <row r="73" spans="1:15">
      <c r="A73" s="3" t="s">
        <v>1093</v>
      </c>
      <c r="B73" s="3" t="s">
        <v>1094</v>
      </c>
      <c r="C73" s="3" t="s">
        <v>1066</v>
      </c>
      <c r="D73" s="3" t="s">
        <v>1095</v>
      </c>
      <c r="E73" s="3" t="s">
        <v>1096</v>
      </c>
      <c r="F73" s="3" t="s">
        <v>1097</v>
      </c>
      <c r="G73" s="3" t="s">
        <v>1098</v>
      </c>
      <c r="H73" s="3" t="s">
        <v>1099</v>
      </c>
      <c r="I73" s="3" t="s">
        <v>1100</v>
      </c>
      <c r="J73" s="3" t="s">
        <v>1101</v>
      </c>
      <c r="K73" s="3" t="s">
        <v>1102</v>
      </c>
      <c r="L73" s="3" t="s">
        <v>1103</v>
      </c>
      <c r="M73" s="3" t="s">
        <v>1104</v>
      </c>
      <c r="N73" s="3" t="s">
        <v>1105</v>
      </c>
      <c r="O73" s="3" t="s">
        <v>1106</v>
      </c>
    </row>
    <row r="74" spans="1:15">
      <c r="A74" s="3" t="s">
        <v>1107</v>
      </c>
      <c r="B74" s="3" t="s">
        <v>1108</v>
      </c>
      <c r="C74" s="3" t="s">
        <v>1109</v>
      </c>
      <c r="D74" s="3" t="s">
        <v>1110</v>
      </c>
      <c r="E74" s="3" t="s">
        <v>1111</v>
      </c>
      <c r="F74" s="3" t="s">
        <v>1112</v>
      </c>
      <c r="G74" s="3" t="s">
        <v>1113</v>
      </c>
      <c r="H74" s="3" t="s">
        <v>1114</v>
      </c>
      <c r="I74" s="3" t="s">
        <v>1115</v>
      </c>
      <c r="J74" s="3" t="s">
        <v>1116</v>
      </c>
      <c r="K74" s="3" t="s">
        <v>1117</v>
      </c>
      <c r="L74" s="3" t="s">
        <v>1118</v>
      </c>
      <c r="M74" s="3" t="s">
        <v>1119</v>
      </c>
      <c r="N74" s="3" t="s">
        <v>1120</v>
      </c>
      <c r="O74" s="3" t="s">
        <v>1121</v>
      </c>
    </row>
    <row r="75" spans="1:15">
      <c r="A75" s="3" t="s">
        <v>1122</v>
      </c>
      <c r="B75" s="3" t="s">
        <v>1123</v>
      </c>
      <c r="C75" s="3" t="s">
        <v>1109</v>
      </c>
      <c r="D75" s="3" t="s">
        <v>1124</v>
      </c>
      <c r="E75" s="3" t="s">
        <v>1125</v>
      </c>
      <c r="F75" s="3" t="s">
        <v>1126</v>
      </c>
      <c r="G75" s="3" t="s">
        <v>1127</v>
      </c>
      <c r="H75" s="3" t="s">
        <v>1128</v>
      </c>
      <c r="I75" s="3" t="s">
        <v>1129</v>
      </c>
      <c r="J75" s="3" t="s">
        <v>1130</v>
      </c>
      <c r="K75" s="3" t="s">
        <v>1131</v>
      </c>
      <c r="L75" s="3" t="s">
        <v>1132</v>
      </c>
      <c r="M75" s="3" t="s">
        <v>1133</v>
      </c>
      <c r="N75" s="3" t="s">
        <v>1134</v>
      </c>
      <c r="O75" s="3" t="s">
        <v>1135</v>
      </c>
    </row>
    <row r="76" spans="1:15">
      <c r="A76" s="3" t="s">
        <v>1136</v>
      </c>
      <c r="B76" s="3" t="s">
        <v>1137</v>
      </c>
      <c r="C76" s="3" t="s">
        <v>1138</v>
      </c>
      <c r="D76" s="3" t="s">
        <v>1139</v>
      </c>
      <c r="E76" s="3" t="s">
        <v>1140</v>
      </c>
      <c r="F76" s="3" t="s">
        <v>1141</v>
      </c>
      <c r="G76" s="3" t="s">
        <v>1142</v>
      </c>
      <c r="H76" s="3" t="s">
        <v>1143</v>
      </c>
      <c r="I76" s="3" t="s">
        <v>1144</v>
      </c>
      <c r="J76" s="3" t="s">
        <v>1145</v>
      </c>
      <c r="K76" s="3" t="s">
        <v>1146</v>
      </c>
      <c r="L76" s="3" t="s">
        <v>1147</v>
      </c>
      <c r="M76" s="3" t="s">
        <v>1148</v>
      </c>
      <c r="N76" s="3" t="s">
        <v>1149</v>
      </c>
      <c r="O76" s="3" t="s">
        <v>1150</v>
      </c>
    </row>
    <row r="77" spans="1:15">
      <c r="A77" s="3" t="s">
        <v>1151</v>
      </c>
      <c r="B77" s="3" t="s">
        <v>1152</v>
      </c>
      <c r="C77" s="3" t="s">
        <v>1153</v>
      </c>
      <c r="D77" s="3" t="s">
        <v>1154</v>
      </c>
      <c r="E77" s="3" t="s">
        <v>1155</v>
      </c>
      <c r="F77" s="3" t="s">
        <v>1156</v>
      </c>
      <c r="G77" s="3" t="s">
        <v>1157</v>
      </c>
      <c r="H77" s="3" t="s">
        <v>1158</v>
      </c>
      <c r="I77" s="3" t="s">
        <v>1159</v>
      </c>
      <c r="J77" s="3" t="s">
        <v>1160</v>
      </c>
      <c r="K77" s="3" t="s">
        <v>1161</v>
      </c>
      <c r="L77" s="3" t="s">
        <v>1162</v>
      </c>
      <c r="M77" s="3" t="s">
        <v>1163</v>
      </c>
      <c r="N77" s="3" t="s">
        <v>1164</v>
      </c>
      <c r="O77" s="3" t="s">
        <v>1165</v>
      </c>
    </row>
    <row r="78" spans="1:15">
      <c r="A78" s="3" t="s">
        <v>1166</v>
      </c>
      <c r="B78" s="3" t="s">
        <v>1167</v>
      </c>
      <c r="C78" s="3" t="s">
        <v>1168</v>
      </c>
      <c r="D78" s="3" t="s">
        <v>1169</v>
      </c>
      <c r="E78" s="3" t="s">
        <v>1170</v>
      </c>
      <c r="F78" s="3" t="s">
        <v>1171</v>
      </c>
      <c r="G78" s="3" t="s">
        <v>1172</v>
      </c>
      <c r="H78" s="3" t="s">
        <v>1173</v>
      </c>
      <c r="I78" s="3" t="s">
        <v>1174</v>
      </c>
      <c r="J78" s="3" t="s">
        <v>1175</v>
      </c>
      <c r="K78" s="3" t="s">
        <v>1176</v>
      </c>
      <c r="L78" s="3" t="s">
        <v>1177</v>
      </c>
      <c r="M78" s="3" t="s">
        <v>1178</v>
      </c>
      <c r="N78" s="3" t="s">
        <v>1179</v>
      </c>
      <c r="O78" s="3" t="s">
        <v>1180</v>
      </c>
    </row>
    <row r="79" spans="1:15">
      <c r="A79" s="3" t="s">
        <v>1181</v>
      </c>
      <c r="B79" s="3" t="s">
        <v>1182</v>
      </c>
      <c r="C79" s="3" t="s">
        <v>1183</v>
      </c>
      <c r="D79" s="3" t="s">
        <v>1184</v>
      </c>
      <c r="E79" s="3" t="s">
        <v>1185</v>
      </c>
      <c r="F79" s="3" t="s">
        <v>1186</v>
      </c>
      <c r="G79" s="3" t="s">
        <v>1187</v>
      </c>
      <c r="H79" s="3" t="s">
        <v>1188</v>
      </c>
      <c r="I79" s="3" t="s">
        <v>1189</v>
      </c>
      <c r="J79" s="3" t="s">
        <v>1190</v>
      </c>
      <c r="K79" s="3" t="s">
        <v>1191</v>
      </c>
      <c r="L79" s="3" t="s">
        <v>1192</v>
      </c>
      <c r="M79" s="3" t="s">
        <v>786</v>
      </c>
      <c r="N79" s="3" t="s">
        <v>1193</v>
      </c>
      <c r="O79" s="3" t="s">
        <v>1194</v>
      </c>
    </row>
    <row r="80" spans="1:15">
      <c r="A80" s="3" t="s">
        <v>1195</v>
      </c>
      <c r="B80" s="3" t="s">
        <v>1196</v>
      </c>
      <c r="C80" s="3" t="s">
        <v>1197</v>
      </c>
      <c r="D80" s="3" t="s">
        <v>1198</v>
      </c>
      <c r="E80" s="3" t="s">
        <v>1199</v>
      </c>
      <c r="F80" s="3" t="s">
        <v>1200</v>
      </c>
      <c r="G80" s="3" t="s">
        <v>1201</v>
      </c>
      <c r="H80" s="3" t="s">
        <v>1202</v>
      </c>
      <c r="I80" s="3" t="s">
        <v>1203</v>
      </c>
      <c r="J80" s="3" t="s">
        <v>1204</v>
      </c>
      <c r="K80" s="3" t="s">
        <v>1205</v>
      </c>
      <c r="L80" s="3" t="s">
        <v>1206</v>
      </c>
      <c r="M80" s="3" t="s">
        <v>1207</v>
      </c>
      <c r="N80" s="3" t="s">
        <v>1208</v>
      </c>
      <c r="O80" s="3" t="s">
        <v>1209</v>
      </c>
    </row>
    <row r="81" spans="1:15">
      <c r="A81" s="3" t="s">
        <v>1210</v>
      </c>
      <c r="B81" s="3" t="s">
        <v>1211</v>
      </c>
      <c r="C81" s="3" t="s">
        <v>1212</v>
      </c>
      <c r="D81" s="3" t="s">
        <v>1213</v>
      </c>
      <c r="E81" s="3" t="s">
        <v>1214</v>
      </c>
      <c r="F81" s="3" t="s">
        <v>1215</v>
      </c>
      <c r="G81" s="3" t="s">
        <v>1216</v>
      </c>
      <c r="H81" s="3" t="s">
        <v>1217</v>
      </c>
      <c r="I81" s="3" t="s">
        <v>1218</v>
      </c>
      <c r="J81" s="3" t="s">
        <v>1219</v>
      </c>
      <c r="K81" s="3" t="s">
        <v>1220</v>
      </c>
      <c r="L81" s="3" t="s">
        <v>1221</v>
      </c>
      <c r="M81" s="3" t="s">
        <v>1222</v>
      </c>
      <c r="N81" s="3" t="s">
        <v>1223</v>
      </c>
      <c r="O81" s="3" t="s">
        <v>1224</v>
      </c>
    </row>
    <row r="82" spans="1:15">
      <c r="A82" s="3" t="s">
        <v>1225</v>
      </c>
      <c r="B82" s="3" t="s">
        <v>1226</v>
      </c>
      <c r="C82" s="3" t="s">
        <v>1227</v>
      </c>
      <c r="D82" s="3" t="s">
        <v>1228</v>
      </c>
      <c r="E82" s="3" t="s">
        <v>1229</v>
      </c>
      <c r="F82" s="3" t="s">
        <v>1230</v>
      </c>
      <c r="G82" s="3" t="s">
        <v>1231</v>
      </c>
      <c r="H82" s="3" t="s">
        <v>1232</v>
      </c>
      <c r="I82" s="3" t="s">
        <v>1233</v>
      </c>
      <c r="J82" s="3" t="s">
        <v>1234</v>
      </c>
      <c r="K82" s="3" t="s">
        <v>1235</v>
      </c>
      <c r="L82" s="3" t="s">
        <v>1236</v>
      </c>
      <c r="M82" s="3" t="s">
        <v>280</v>
      </c>
      <c r="N82" s="3" t="s">
        <v>1237</v>
      </c>
      <c r="O82" s="3" t="s">
        <v>1238</v>
      </c>
    </row>
    <row r="83" spans="1:15">
      <c r="A83" s="3" t="s">
        <v>1239</v>
      </c>
      <c r="B83" s="3" t="s">
        <v>1240</v>
      </c>
      <c r="C83" s="3" t="s">
        <v>1241</v>
      </c>
      <c r="D83" s="3" t="s">
        <v>1242</v>
      </c>
      <c r="E83" s="3" t="s">
        <v>1243</v>
      </c>
      <c r="F83" s="3" t="s">
        <v>1244</v>
      </c>
      <c r="G83" s="3" t="s">
        <v>1245</v>
      </c>
      <c r="H83" s="3" t="s">
        <v>1246</v>
      </c>
      <c r="I83" s="3" t="s">
        <v>1247</v>
      </c>
      <c r="J83" s="3" t="s">
        <v>1248</v>
      </c>
      <c r="K83" s="3" t="s">
        <v>1249</v>
      </c>
      <c r="L83" s="3" t="s">
        <v>1250</v>
      </c>
      <c r="M83" s="3" t="s">
        <v>1251</v>
      </c>
      <c r="N83" s="3" t="s">
        <v>1252</v>
      </c>
      <c r="O83" s="3" t="s">
        <v>1253</v>
      </c>
    </row>
    <row r="84" spans="1:15">
      <c r="A84" s="3" t="s">
        <v>1254</v>
      </c>
      <c r="B84" s="3" t="s">
        <v>1255</v>
      </c>
      <c r="C84" s="3" t="s">
        <v>1256</v>
      </c>
      <c r="D84" s="3" t="s">
        <v>1257</v>
      </c>
      <c r="E84" s="3" t="s">
        <v>1258</v>
      </c>
      <c r="F84" s="3" t="s">
        <v>1259</v>
      </c>
      <c r="G84" s="3" t="s">
        <v>1260</v>
      </c>
      <c r="H84" s="3" t="s">
        <v>1261</v>
      </c>
      <c r="I84" s="3" t="s">
        <v>1262</v>
      </c>
      <c r="J84" s="3" t="s">
        <v>1263</v>
      </c>
      <c r="K84" s="3" t="s">
        <v>1264</v>
      </c>
      <c r="L84" s="3" t="s">
        <v>1265</v>
      </c>
      <c r="M84" s="3" t="s">
        <v>1266</v>
      </c>
      <c r="N84" s="3" t="s">
        <v>1267</v>
      </c>
      <c r="O84" s="3" t="s">
        <v>1268</v>
      </c>
    </row>
    <row r="85" spans="1:15">
      <c r="A85" s="3" t="s">
        <v>1269</v>
      </c>
      <c r="B85" s="3" t="s">
        <v>1270</v>
      </c>
      <c r="C85" s="3" t="s">
        <v>1271</v>
      </c>
      <c r="D85" s="3" t="s">
        <v>1272</v>
      </c>
      <c r="E85" s="3" t="s">
        <v>1273</v>
      </c>
      <c r="F85" s="3" t="s">
        <v>1274</v>
      </c>
      <c r="G85" s="3" t="s">
        <v>1275</v>
      </c>
      <c r="H85" s="3" t="s">
        <v>1276</v>
      </c>
      <c r="I85" s="3" t="s">
        <v>1277</v>
      </c>
      <c r="J85" s="3" t="s">
        <v>1278</v>
      </c>
      <c r="K85" s="3" t="s">
        <v>1279</v>
      </c>
      <c r="L85" s="3" t="s">
        <v>1280</v>
      </c>
      <c r="M85" s="3" t="s">
        <v>1281</v>
      </c>
      <c r="N85" s="3" t="s">
        <v>1282</v>
      </c>
      <c r="O85" s="3" t="s">
        <v>1283</v>
      </c>
    </row>
    <row r="86" spans="1:15">
      <c r="A86" s="3" t="s">
        <v>1284</v>
      </c>
      <c r="B86" s="3" t="s">
        <v>1285</v>
      </c>
      <c r="C86" s="3" t="s">
        <v>1286</v>
      </c>
      <c r="D86" s="3" t="s">
        <v>1287</v>
      </c>
      <c r="E86" s="3" t="s">
        <v>1288</v>
      </c>
      <c r="F86" s="3" t="s">
        <v>1289</v>
      </c>
      <c r="G86" s="3" t="s">
        <v>1290</v>
      </c>
      <c r="H86" s="3" t="s">
        <v>1291</v>
      </c>
      <c r="I86" s="3" t="s">
        <v>1292</v>
      </c>
      <c r="J86" s="3" t="s">
        <v>1293</v>
      </c>
      <c r="K86" s="3" t="s">
        <v>1294</v>
      </c>
      <c r="L86" s="3" t="s">
        <v>1295</v>
      </c>
      <c r="M86" s="3" t="s">
        <v>1296</v>
      </c>
      <c r="N86" s="3" t="s">
        <v>1297</v>
      </c>
      <c r="O86" s="3" t="s">
        <v>1298</v>
      </c>
    </row>
    <row r="87" spans="1:15">
      <c r="A87" s="3" t="s">
        <v>1299</v>
      </c>
      <c r="B87" s="3" t="s">
        <v>1300</v>
      </c>
      <c r="C87" s="3" t="s">
        <v>1301</v>
      </c>
      <c r="D87" s="3" t="s">
        <v>1302</v>
      </c>
      <c r="E87" s="3" t="s">
        <v>1303</v>
      </c>
      <c r="F87" s="3" t="s">
        <v>1304</v>
      </c>
      <c r="G87" s="3" t="s">
        <v>1305</v>
      </c>
      <c r="H87" s="3" t="s">
        <v>1306</v>
      </c>
      <c r="I87" s="3" t="s">
        <v>1307</v>
      </c>
      <c r="J87" s="3" t="s">
        <v>1308</v>
      </c>
      <c r="K87" s="3" t="s">
        <v>1309</v>
      </c>
      <c r="L87" s="3" t="s">
        <v>1310</v>
      </c>
      <c r="M87" s="3" t="s">
        <v>1311</v>
      </c>
      <c r="N87" s="3" t="s">
        <v>1312</v>
      </c>
      <c r="O87" s="3" t="s">
        <v>1313</v>
      </c>
    </row>
    <row r="88" spans="1:15">
      <c r="A88" s="3" t="s">
        <v>1314</v>
      </c>
      <c r="B88" s="3" t="s">
        <v>1315</v>
      </c>
      <c r="C88" s="3" t="s">
        <v>1316</v>
      </c>
      <c r="D88" s="3" t="s">
        <v>1317</v>
      </c>
      <c r="E88" s="3" t="s">
        <v>1318</v>
      </c>
      <c r="F88" s="3" t="s">
        <v>1319</v>
      </c>
      <c r="G88" s="3" t="s">
        <v>1320</v>
      </c>
      <c r="H88" s="3" t="s">
        <v>1321</v>
      </c>
      <c r="I88" s="3" t="s">
        <v>1322</v>
      </c>
      <c r="J88" s="3" t="s">
        <v>1323</v>
      </c>
      <c r="K88" s="3" t="s">
        <v>1324</v>
      </c>
      <c r="L88" s="3" t="s">
        <v>1325</v>
      </c>
      <c r="M88" s="3" t="s">
        <v>1326</v>
      </c>
      <c r="N88" s="3" t="s">
        <v>1327</v>
      </c>
      <c r="O88" s="3" t="s">
        <v>1328</v>
      </c>
    </row>
    <row r="89" spans="1:15">
      <c r="A89" s="3" t="s">
        <v>1329</v>
      </c>
      <c r="B89" s="3" t="s">
        <v>1330</v>
      </c>
      <c r="C89" s="3" t="s">
        <v>1331</v>
      </c>
      <c r="D89" s="3" t="s">
        <v>1332</v>
      </c>
      <c r="E89" s="3" t="s">
        <v>1333</v>
      </c>
      <c r="F89" s="3" t="s">
        <v>1334</v>
      </c>
      <c r="G89" s="3" t="s">
        <v>1335</v>
      </c>
      <c r="H89" s="3" t="s">
        <v>1336</v>
      </c>
      <c r="I89" s="3" t="s">
        <v>1337</v>
      </c>
      <c r="J89" s="3" t="s">
        <v>1338</v>
      </c>
      <c r="K89" s="3" t="s">
        <v>1339</v>
      </c>
      <c r="L89" s="3" t="s">
        <v>1340</v>
      </c>
      <c r="M89" s="3" t="s">
        <v>1341</v>
      </c>
      <c r="N89" s="3" t="s">
        <v>1342</v>
      </c>
      <c r="O89" s="3" t="s">
        <v>1343</v>
      </c>
    </row>
    <row r="90" spans="1:15">
      <c r="A90" s="3" t="s">
        <v>1344</v>
      </c>
      <c r="B90" s="3" t="s">
        <v>1345</v>
      </c>
      <c r="C90" s="3" t="s">
        <v>1346</v>
      </c>
      <c r="D90" s="3" t="s">
        <v>1347</v>
      </c>
      <c r="E90" s="3" t="s">
        <v>1348</v>
      </c>
      <c r="F90" s="3" t="s">
        <v>1349</v>
      </c>
      <c r="G90" s="3" t="s">
        <v>1350</v>
      </c>
      <c r="H90" s="3" t="s">
        <v>1351</v>
      </c>
      <c r="I90" s="3" t="s">
        <v>1352</v>
      </c>
      <c r="J90" s="3" t="s">
        <v>1353</v>
      </c>
      <c r="K90" s="3" t="s">
        <v>1354</v>
      </c>
      <c r="L90" s="3" t="s">
        <v>1355</v>
      </c>
      <c r="M90" s="3" t="s">
        <v>1356</v>
      </c>
      <c r="N90" s="3" t="s">
        <v>1357</v>
      </c>
      <c r="O90" s="3" t="s">
        <v>1358</v>
      </c>
    </row>
    <row r="91" spans="1:15">
      <c r="A91" s="3" t="s">
        <v>1359</v>
      </c>
      <c r="B91" s="3" t="s">
        <v>1360</v>
      </c>
      <c r="C91" s="3" t="s">
        <v>1361</v>
      </c>
      <c r="D91" s="3" t="s">
        <v>1362</v>
      </c>
      <c r="E91" s="3" t="s">
        <v>1363</v>
      </c>
      <c r="F91" s="3" t="s">
        <v>1364</v>
      </c>
      <c r="G91" s="3" t="s">
        <v>1365</v>
      </c>
      <c r="H91" s="3" t="s">
        <v>1366</v>
      </c>
      <c r="I91" s="3" t="s">
        <v>1367</v>
      </c>
      <c r="J91" s="3" t="s">
        <v>1368</v>
      </c>
      <c r="K91" s="3" t="s">
        <v>1369</v>
      </c>
      <c r="L91" s="3" t="s">
        <v>1370</v>
      </c>
      <c r="M91" s="3" t="s">
        <v>1371</v>
      </c>
      <c r="N91" s="3" t="s">
        <v>1372</v>
      </c>
      <c r="O91" s="3" t="s">
        <v>1373</v>
      </c>
    </row>
    <row r="92" spans="1:15">
      <c r="A92" s="3" t="s">
        <v>1374</v>
      </c>
      <c r="B92" s="3" t="s">
        <v>1375</v>
      </c>
      <c r="C92" s="3" t="s">
        <v>1376</v>
      </c>
      <c r="D92" s="3" t="s">
        <v>1377</v>
      </c>
      <c r="E92" s="3" t="s">
        <v>1378</v>
      </c>
      <c r="F92" s="3" t="s">
        <v>1379</v>
      </c>
      <c r="G92" s="3" t="s">
        <v>1380</v>
      </c>
      <c r="H92" s="3" t="s">
        <v>1381</v>
      </c>
      <c r="I92" s="3" t="s">
        <v>1382</v>
      </c>
      <c r="J92" s="3" t="s">
        <v>1383</v>
      </c>
      <c r="K92" s="3" t="s">
        <v>1384</v>
      </c>
      <c r="L92" s="3" t="s">
        <v>1385</v>
      </c>
      <c r="M92" s="3" t="s">
        <v>1386</v>
      </c>
      <c r="N92" s="3" t="s">
        <v>1387</v>
      </c>
      <c r="O92" s="3" t="s">
        <v>1388</v>
      </c>
    </row>
    <row r="93" spans="1:15">
      <c r="A93" s="3" t="s">
        <v>1389</v>
      </c>
      <c r="B93" s="3" t="s">
        <v>1390</v>
      </c>
      <c r="C93" s="3" t="s">
        <v>1391</v>
      </c>
      <c r="D93" s="3" t="s">
        <v>1392</v>
      </c>
      <c r="E93" s="3" t="s">
        <v>1393</v>
      </c>
      <c r="F93" s="3" t="s">
        <v>1394</v>
      </c>
      <c r="G93" s="3" t="s">
        <v>1395</v>
      </c>
      <c r="H93" s="3" t="s">
        <v>1396</v>
      </c>
      <c r="I93" s="3" t="s">
        <v>1397</v>
      </c>
      <c r="J93" s="3" t="s">
        <v>1398</v>
      </c>
      <c r="K93" s="3" t="s">
        <v>1399</v>
      </c>
      <c r="L93" s="3" t="s">
        <v>1400</v>
      </c>
      <c r="M93" s="3" t="s">
        <v>1401</v>
      </c>
      <c r="N93" s="3" t="s">
        <v>1402</v>
      </c>
      <c r="O93" s="3" t="s">
        <v>1403</v>
      </c>
    </row>
    <row r="94" spans="1:15">
      <c r="A94" s="3" t="s">
        <v>1404</v>
      </c>
      <c r="B94" s="3" t="s">
        <v>1405</v>
      </c>
      <c r="C94" s="3" t="s">
        <v>1406</v>
      </c>
      <c r="D94" s="3" t="s">
        <v>1407</v>
      </c>
      <c r="E94" s="3" t="s">
        <v>1408</v>
      </c>
      <c r="F94" s="3" t="s">
        <v>1409</v>
      </c>
      <c r="G94" s="3" t="s">
        <v>1410</v>
      </c>
      <c r="H94" s="3" t="s">
        <v>1411</v>
      </c>
      <c r="I94" s="3" t="s">
        <v>1412</v>
      </c>
      <c r="J94" s="3" t="s">
        <v>1413</v>
      </c>
      <c r="K94" s="3" t="s">
        <v>1414</v>
      </c>
      <c r="L94" s="3" t="s">
        <v>1415</v>
      </c>
      <c r="M94" s="3" t="s">
        <v>1416</v>
      </c>
      <c r="N94" s="3" t="s">
        <v>1417</v>
      </c>
      <c r="O94" s="3" t="s">
        <v>1418</v>
      </c>
    </row>
    <row r="95" spans="1:15">
      <c r="A95" s="3" t="s">
        <v>1419</v>
      </c>
      <c r="B95" s="3" t="s">
        <v>1420</v>
      </c>
      <c r="C95" s="3" t="s">
        <v>1421</v>
      </c>
      <c r="D95" s="3" t="s">
        <v>1422</v>
      </c>
      <c r="E95" s="3" t="s">
        <v>1423</v>
      </c>
      <c r="F95" s="3" t="s">
        <v>1424</v>
      </c>
      <c r="G95" s="3" t="s">
        <v>1425</v>
      </c>
      <c r="H95" s="3" t="s">
        <v>1426</v>
      </c>
      <c r="I95" s="3" t="s">
        <v>1427</v>
      </c>
      <c r="J95" s="3" t="s">
        <v>1428</v>
      </c>
      <c r="K95" s="3" t="s">
        <v>1429</v>
      </c>
      <c r="L95" s="3" t="s">
        <v>1430</v>
      </c>
      <c r="M95" s="3" t="s">
        <v>1431</v>
      </c>
      <c r="N95" s="3" t="s">
        <v>1432</v>
      </c>
      <c r="O95" s="3" t="s">
        <v>1433</v>
      </c>
    </row>
    <row r="96" spans="1:15">
      <c r="A96" s="3" t="s">
        <v>1434</v>
      </c>
      <c r="B96" s="3" t="s">
        <v>1435</v>
      </c>
      <c r="C96" s="3" t="s">
        <v>1436</v>
      </c>
      <c r="D96" s="3" t="s">
        <v>1437</v>
      </c>
      <c r="E96" s="3" t="s">
        <v>1438</v>
      </c>
      <c r="F96" s="3" t="s">
        <v>1439</v>
      </c>
      <c r="G96" s="3" t="s">
        <v>1440</v>
      </c>
      <c r="H96" s="3" t="s">
        <v>1441</v>
      </c>
      <c r="I96" s="3" t="s">
        <v>1442</v>
      </c>
      <c r="J96" s="3" t="s">
        <v>1443</v>
      </c>
      <c r="K96" s="3" t="s">
        <v>1444</v>
      </c>
      <c r="L96" s="3" t="s">
        <v>1445</v>
      </c>
      <c r="M96" s="3" t="s">
        <v>1446</v>
      </c>
      <c r="N96" s="3" t="s">
        <v>1447</v>
      </c>
      <c r="O96" s="3" t="s">
        <v>1448</v>
      </c>
    </row>
    <row r="97" spans="1:15">
      <c r="A97" s="3" t="s">
        <v>1449</v>
      </c>
      <c r="B97" s="3" t="s">
        <v>1450</v>
      </c>
      <c r="C97" s="3" t="s">
        <v>1451</v>
      </c>
      <c r="D97" s="3" t="s">
        <v>1452</v>
      </c>
      <c r="E97" s="3" t="s">
        <v>1453</v>
      </c>
      <c r="F97" s="3" t="s">
        <v>1454</v>
      </c>
      <c r="G97" s="3" t="s">
        <v>1455</v>
      </c>
      <c r="H97" s="3" t="s">
        <v>1456</v>
      </c>
      <c r="I97" s="3" t="s">
        <v>1457</v>
      </c>
      <c r="J97" s="3" t="s">
        <v>1458</v>
      </c>
      <c r="K97" s="3" t="s">
        <v>1459</v>
      </c>
      <c r="L97" s="3" t="s">
        <v>1460</v>
      </c>
      <c r="M97" s="3" t="s">
        <v>1461</v>
      </c>
      <c r="N97" s="3" t="s">
        <v>1462</v>
      </c>
      <c r="O97" s="3" t="s">
        <v>1463</v>
      </c>
    </row>
    <row r="98" spans="1:15">
      <c r="A98" s="3" t="s">
        <v>1464</v>
      </c>
      <c r="B98" s="3" t="s">
        <v>1465</v>
      </c>
      <c r="C98" s="3" t="s">
        <v>1466</v>
      </c>
      <c r="D98" s="3" t="s">
        <v>1467</v>
      </c>
      <c r="E98" s="3" t="s">
        <v>1468</v>
      </c>
      <c r="F98" s="3" t="s">
        <v>1469</v>
      </c>
      <c r="G98" s="3" t="s">
        <v>1470</v>
      </c>
      <c r="H98" s="3" t="s">
        <v>1471</v>
      </c>
      <c r="I98" s="3" t="s">
        <v>1472</v>
      </c>
      <c r="J98" s="3" t="s">
        <v>1473</v>
      </c>
      <c r="K98" s="3" t="s">
        <v>1474</v>
      </c>
      <c r="L98" s="3" t="s">
        <v>1475</v>
      </c>
      <c r="M98" s="3" t="s">
        <v>1476</v>
      </c>
      <c r="N98" s="3" t="s">
        <v>1477</v>
      </c>
      <c r="O98" s="3" t="s">
        <v>1478</v>
      </c>
    </row>
    <row r="99" spans="1:15">
      <c r="A99" s="3" t="s">
        <v>1479</v>
      </c>
      <c r="B99" s="3" t="s">
        <v>1480</v>
      </c>
      <c r="C99" s="3" t="s">
        <v>1481</v>
      </c>
      <c r="D99" s="3" t="s">
        <v>1482</v>
      </c>
      <c r="E99" s="3" t="s">
        <v>1483</v>
      </c>
      <c r="F99" s="3" t="s">
        <v>1484</v>
      </c>
      <c r="G99" s="3" t="s">
        <v>1485</v>
      </c>
      <c r="H99" s="3" t="s">
        <v>1486</v>
      </c>
      <c r="I99" s="3" t="s">
        <v>1487</v>
      </c>
      <c r="J99" s="3" t="s">
        <v>1488</v>
      </c>
      <c r="K99" s="3" t="s">
        <v>1489</v>
      </c>
      <c r="L99" s="3" t="s">
        <v>1490</v>
      </c>
      <c r="M99" s="3" t="s">
        <v>1491</v>
      </c>
      <c r="N99" s="3" t="s">
        <v>1492</v>
      </c>
      <c r="O99" s="3" t="s">
        <v>1493</v>
      </c>
    </row>
    <row r="100" spans="1:15">
      <c r="A100" s="3" t="s">
        <v>1494</v>
      </c>
      <c r="B100" s="3" t="s">
        <v>1495</v>
      </c>
      <c r="C100" s="3" t="s">
        <v>1481</v>
      </c>
      <c r="D100" s="3" t="s">
        <v>1496</v>
      </c>
      <c r="E100" s="3" t="s">
        <v>1497</v>
      </c>
      <c r="F100" s="3" t="s">
        <v>1498</v>
      </c>
      <c r="G100" s="3" t="s">
        <v>1499</v>
      </c>
      <c r="H100" s="3" t="s">
        <v>1500</v>
      </c>
      <c r="I100" s="3" t="s">
        <v>1501</v>
      </c>
      <c r="J100" s="3" t="s">
        <v>1502</v>
      </c>
      <c r="K100" s="3" t="s">
        <v>1503</v>
      </c>
      <c r="L100" s="3" t="s">
        <v>1504</v>
      </c>
      <c r="M100" s="3" t="s">
        <v>1505</v>
      </c>
      <c r="N100" s="3" t="s">
        <v>1506</v>
      </c>
      <c r="O100" s="3" t="s">
        <v>1507</v>
      </c>
    </row>
    <row r="101" spans="1:15">
      <c r="A101" s="3" t="s">
        <v>1508</v>
      </c>
      <c r="B101" s="3" t="s">
        <v>1509</v>
      </c>
      <c r="C101" s="3" t="s">
        <v>1510</v>
      </c>
      <c r="D101" s="3" t="s">
        <v>1511</v>
      </c>
      <c r="E101" s="3" t="s">
        <v>1512</v>
      </c>
      <c r="F101" s="3" t="s">
        <v>1513</v>
      </c>
      <c r="G101" s="3" t="s">
        <v>1514</v>
      </c>
      <c r="H101" s="3" t="s">
        <v>1515</v>
      </c>
      <c r="I101" s="3" t="s">
        <v>1516</v>
      </c>
      <c r="J101" s="3" t="s">
        <v>1517</v>
      </c>
      <c r="K101" s="3" t="s">
        <v>1518</v>
      </c>
      <c r="L101" s="3" t="s">
        <v>1519</v>
      </c>
      <c r="M101" s="3" t="s">
        <v>1520</v>
      </c>
      <c r="N101" s="3" t="s">
        <v>1521</v>
      </c>
      <c r="O101" s="3" t="s">
        <v>1522</v>
      </c>
    </row>
    <row r="102" spans="1:15">
      <c r="A102" s="3" t="s">
        <v>1523</v>
      </c>
      <c r="B102" s="3" t="s">
        <v>1524</v>
      </c>
      <c r="C102" s="3" t="s">
        <v>1525</v>
      </c>
      <c r="D102" s="3" t="s">
        <v>1526</v>
      </c>
      <c r="E102" s="3" t="s">
        <v>1527</v>
      </c>
      <c r="F102" s="3" t="s">
        <v>1528</v>
      </c>
      <c r="G102" s="3" t="s">
        <v>1529</v>
      </c>
      <c r="H102" s="3" t="s">
        <v>1530</v>
      </c>
      <c r="I102" s="3" t="s">
        <v>1531</v>
      </c>
      <c r="J102" s="3" t="s">
        <v>1532</v>
      </c>
      <c r="K102" s="3" t="s">
        <v>1533</v>
      </c>
      <c r="L102" s="3" t="s">
        <v>1534</v>
      </c>
      <c r="M102" s="3" t="s">
        <v>1535</v>
      </c>
      <c r="N102" s="3" t="s">
        <v>1536</v>
      </c>
      <c r="O102" s="3" t="s">
        <v>1537</v>
      </c>
    </row>
    <row r="103" spans="1:15">
      <c r="A103" s="3" t="s">
        <v>1538</v>
      </c>
      <c r="B103" s="3" t="s">
        <v>1539</v>
      </c>
      <c r="C103" s="3" t="s">
        <v>1540</v>
      </c>
      <c r="D103" s="3" t="s">
        <v>1541</v>
      </c>
      <c r="E103" s="3" t="s">
        <v>1542</v>
      </c>
      <c r="F103" s="3" t="s">
        <v>1543</v>
      </c>
      <c r="G103" s="3" t="s">
        <v>1544</v>
      </c>
      <c r="H103" s="3" t="s">
        <v>1545</v>
      </c>
      <c r="I103" s="3" t="s">
        <v>1546</v>
      </c>
      <c r="J103" s="3" t="s">
        <v>1547</v>
      </c>
      <c r="K103" s="3" t="s">
        <v>1548</v>
      </c>
      <c r="L103" s="3" t="s">
        <v>1549</v>
      </c>
      <c r="M103" s="3" t="s">
        <v>1550</v>
      </c>
      <c r="N103" s="3" t="s">
        <v>1551</v>
      </c>
      <c r="O103" s="3" t="s">
        <v>1552</v>
      </c>
    </row>
    <row r="104" spans="1:15">
      <c r="A104" s="3" t="s">
        <v>1553</v>
      </c>
      <c r="B104" s="3" t="s">
        <v>1554</v>
      </c>
      <c r="C104" s="3" t="s">
        <v>1555</v>
      </c>
      <c r="D104" s="3" t="s">
        <v>1556</v>
      </c>
      <c r="E104" s="3" t="s">
        <v>1557</v>
      </c>
      <c r="F104" s="3" t="s">
        <v>1558</v>
      </c>
      <c r="G104" s="3" t="s">
        <v>1559</v>
      </c>
      <c r="H104" s="3" t="s">
        <v>1560</v>
      </c>
      <c r="I104" s="3" t="s">
        <v>1561</v>
      </c>
      <c r="J104" s="3" t="s">
        <v>1562</v>
      </c>
      <c r="K104" s="3" t="s">
        <v>1563</v>
      </c>
      <c r="L104" s="3" t="s">
        <v>1564</v>
      </c>
      <c r="M104" s="3" t="s">
        <v>1565</v>
      </c>
      <c r="N104" s="3" t="s">
        <v>1566</v>
      </c>
      <c r="O104" s="3" t="s">
        <v>1567</v>
      </c>
    </row>
  </sheetData>
  <autoFilter ref="A1:O104"/>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1"/>
  <sheetViews>
    <sheetView workbookViewId="0">
      <pane ySplit="4" topLeftCell="A5" activePane="bottomLeft" state="frozen"/>
      <selection pane="bottomLeft"/>
    </sheetView>
  </sheetViews>
  <sheetFormatPr defaultRowHeight="15"/>
  <cols>
    <col min="1" max="1" width="34.7109375" customWidth="1"/>
    <col min="2" max="2" width="46.7109375" customWidth="1"/>
    <col min="3" max="4" width="12.7109375" customWidth="1"/>
  </cols>
  <sheetData>
    <row r="1" spans="1:5">
      <c r="B1" s="1" t="s">
        <v>1568</v>
      </c>
    </row>
    <row r="2" spans="1:5">
      <c r="B2" s="6" t="s">
        <v>1569</v>
      </c>
    </row>
    <row r="4" spans="1:5" ht="34" customHeight="1">
      <c r="A4" s="5" t="s">
        <v>1570</v>
      </c>
      <c r="B4" s="5" t="s">
        <v>1571</v>
      </c>
      <c r="C4" s="5" t="s">
        <v>1572</v>
      </c>
      <c r="D4" s="5" t="s">
        <v>1573</v>
      </c>
    </row>
    <row r="5" spans="1:5">
      <c r="B5" s="3" t="s">
        <v>1574</v>
      </c>
      <c r="C5" s="3" t="s">
        <v>1575</v>
      </c>
      <c r="D5" s="7">
        <v>0.24</v>
      </c>
      <c r="E5" s="7">
        <v>0.168</v>
      </c>
    </row>
    <row r="6" spans="1:5">
      <c r="B6" s="3" t="s">
        <v>1574</v>
      </c>
      <c r="C6" s="3" t="s">
        <v>1576</v>
      </c>
      <c r="D6" s="7">
        <v>0.18</v>
      </c>
      <c r="E6" s="7">
        <v>0.126</v>
      </c>
    </row>
    <row r="7" spans="1:5">
      <c r="B7" s="3" t="s">
        <v>1574</v>
      </c>
      <c r="C7" s="3" t="s">
        <v>1577</v>
      </c>
      <c r="D7" s="7">
        <v>0.15</v>
      </c>
      <c r="E7" s="7">
        <v>0.105</v>
      </c>
    </row>
    <row r="8" spans="1:5">
      <c r="B8" s="3" t="s">
        <v>1574</v>
      </c>
      <c r="C8" s="3" t="s">
        <v>1578</v>
      </c>
      <c r="D8" s="7">
        <v>0.13</v>
      </c>
      <c r="E8" s="7">
        <v>0.091</v>
      </c>
    </row>
    <row r="9" spans="1:5">
      <c r="B9" s="3" t="s">
        <v>1574</v>
      </c>
      <c r="C9" s="3" t="s">
        <v>1579</v>
      </c>
      <c r="D9" s="7">
        <v>0.12</v>
      </c>
      <c r="E9" s="7">
        <v>0.08399999999999999</v>
      </c>
    </row>
    <row r="10" spans="1:5">
      <c r="B10" s="3" t="s">
        <v>1574</v>
      </c>
      <c r="C10" s="3" t="s">
        <v>1580</v>
      </c>
      <c r="D10" s="7">
        <v>0.1</v>
      </c>
      <c r="E10" s="7">
        <v>0.06999999999999999</v>
      </c>
    </row>
    <row r="11" spans="1:5">
      <c r="B11" s="3" t="s">
        <v>1574</v>
      </c>
      <c r="C11" s="3" t="s">
        <v>1581</v>
      </c>
      <c r="D11" s="7">
        <v>0.08</v>
      </c>
      <c r="E11" s="7">
        <v>0.05599999999999999</v>
      </c>
    </row>
    <row r="12" spans="1:5">
      <c r="C12" s="2" t="s">
        <v>1582</v>
      </c>
      <c r="D12" s="7">
        <v>0.9999999999999999</v>
      </c>
    </row>
    <row r="14" spans="1:5">
      <c r="B14" s="3" t="s">
        <v>1583</v>
      </c>
      <c r="C14" s="3" t="s">
        <v>1584</v>
      </c>
      <c r="D14" s="7">
        <v>0.2</v>
      </c>
      <c r="E14" s="7">
        <v>0.06</v>
      </c>
    </row>
    <row r="15" spans="1:5">
      <c r="B15" s="3" t="s">
        <v>1583</v>
      </c>
      <c r="C15" s="3" t="s">
        <v>1585</v>
      </c>
      <c r="D15" s="7">
        <v>0.16</v>
      </c>
      <c r="E15" s="7">
        <v>0.048</v>
      </c>
    </row>
    <row r="16" spans="1:5">
      <c r="B16" s="3" t="s">
        <v>1583</v>
      </c>
      <c r="C16" s="3" t="s">
        <v>1586</v>
      </c>
      <c r="D16" s="7">
        <v>0.15</v>
      </c>
      <c r="E16" s="7">
        <v>0.045</v>
      </c>
    </row>
    <row r="17" spans="2:5">
      <c r="B17" s="3" t="s">
        <v>1583</v>
      </c>
      <c r="C17" s="3" t="s">
        <v>1587</v>
      </c>
      <c r="D17" s="7">
        <v>0.15</v>
      </c>
      <c r="E17" s="7">
        <v>0.045</v>
      </c>
    </row>
    <row r="18" spans="2:5">
      <c r="B18" s="3" t="s">
        <v>1583</v>
      </c>
      <c r="C18" s="3" t="s">
        <v>1588</v>
      </c>
      <c r="D18" s="7">
        <v>0.13</v>
      </c>
      <c r="E18" s="7">
        <v>0.039</v>
      </c>
    </row>
    <row r="19" spans="2:5">
      <c r="B19" s="3" t="s">
        <v>1583</v>
      </c>
      <c r="C19" s="3" t="s">
        <v>1589</v>
      </c>
      <c r="D19" s="7">
        <v>0.12</v>
      </c>
      <c r="E19" s="7">
        <v>0.036</v>
      </c>
    </row>
    <row r="20" spans="2:5">
      <c r="B20" s="3" t="s">
        <v>1583</v>
      </c>
      <c r="C20" s="3" t="s">
        <v>1590</v>
      </c>
      <c r="D20" s="7">
        <v>0.09</v>
      </c>
      <c r="E20" s="7">
        <v>0.027</v>
      </c>
    </row>
    <row r="21" spans="2:5">
      <c r="C21" s="2" t="s">
        <v>1582</v>
      </c>
      <c r="D21" s="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04"/>
  <sheetViews>
    <sheetView workbookViewId="0">
      <pane ySplit="1" topLeftCell="A2" activePane="bottomLeft" state="frozen"/>
      <selection pane="bottomLeft"/>
    </sheetView>
  </sheetViews>
  <sheetFormatPr defaultRowHeight="15"/>
  <cols>
    <col min="1" max="1" width="9.7109375" customWidth="1"/>
    <col min="2" max="2" width="40.7109375" customWidth="1"/>
    <col min="3" max="3" width="11.7109375" customWidth="1"/>
    <col min="4" max="4" width="12.7109375" customWidth="1"/>
    <col min="5" max="6" width="13.7109375" customWidth="1"/>
    <col min="7" max="7" width="96.7109375" customWidth="1"/>
  </cols>
  <sheetData>
    <row r="1" spans="1:7" ht="34" customHeight="1">
      <c r="A1" s="5" t="s">
        <v>46</v>
      </c>
      <c r="B1" s="5" t="s">
        <v>47</v>
      </c>
      <c r="C1" s="5" t="s">
        <v>1591</v>
      </c>
      <c r="D1" s="5" t="s">
        <v>1592</v>
      </c>
      <c r="E1" s="5" t="s">
        <v>1593</v>
      </c>
      <c r="F1" s="5" t="s">
        <v>1594</v>
      </c>
      <c r="G1" s="5" t="s">
        <v>1595</v>
      </c>
    </row>
    <row r="2" spans="1:7">
      <c r="A2" s="3" t="s">
        <v>343</v>
      </c>
      <c r="B2" s="3" t="s">
        <v>344</v>
      </c>
      <c r="C2" s="8">
        <v>8</v>
      </c>
      <c r="D2" s="8">
        <v>8</v>
      </c>
      <c r="E2" s="8">
        <v>8</v>
      </c>
      <c r="F2" s="3" t="s">
        <v>1596</v>
      </c>
      <c r="G2" s="3" t="s">
        <v>1597</v>
      </c>
    </row>
    <row r="3" spans="1:7">
      <c r="A3" s="3" t="s">
        <v>905</v>
      </c>
      <c r="B3" s="3" t="s">
        <v>906</v>
      </c>
      <c r="C3" s="8">
        <v>8</v>
      </c>
      <c r="D3" s="8">
        <v>8</v>
      </c>
      <c r="E3" s="8">
        <v>8</v>
      </c>
      <c r="F3" s="3" t="s">
        <v>1598</v>
      </c>
      <c r="G3" s="3" t="s">
        <v>1599</v>
      </c>
    </row>
    <row r="4" spans="1:7">
      <c r="A4" s="3" t="s">
        <v>328</v>
      </c>
      <c r="B4" s="3" t="s">
        <v>329</v>
      </c>
      <c r="C4" s="8">
        <v>7.5</v>
      </c>
      <c r="D4" s="8">
        <v>9</v>
      </c>
      <c r="E4" s="8">
        <v>7.949999999999999</v>
      </c>
      <c r="F4" s="3" t="s">
        <v>1598</v>
      </c>
      <c r="G4" s="3" t="s">
        <v>1600</v>
      </c>
    </row>
    <row r="5" spans="1:7">
      <c r="A5" s="3" t="s">
        <v>61</v>
      </c>
      <c r="B5" s="3" t="s">
        <v>62</v>
      </c>
      <c r="C5" s="8">
        <v>7.5</v>
      </c>
      <c r="D5" s="8">
        <v>8.5</v>
      </c>
      <c r="E5" s="8">
        <v>7.8</v>
      </c>
      <c r="F5" s="3" t="s">
        <v>1598</v>
      </c>
      <c r="G5" s="3" t="s">
        <v>1601</v>
      </c>
    </row>
    <row r="6" spans="1:7">
      <c r="A6" s="3" t="s">
        <v>1389</v>
      </c>
      <c r="B6" s="3" t="s">
        <v>1390</v>
      </c>
      <c r="C6" s="8">
        <v>7.5</v>
      </c>
      <c r="D6" s="8">
        <v>8.5</v>
      </c>
      <c r="E6" s="8">
        <v>7.8</v>
      </c>
      <c r="F6" s="3" t="s">
        <v>1598</v>
      </c>
      <c r="G6" s="3" t="s">
        <v>1602</v>
      </c>
    </row>
    <row r="7" spans="1:7">
      <c r="A7" s="3" t="s">
        <v>1239</v>
      </c>
      <c r="B7" s="3" t="s">
        <v>1240</v>
      </c>
      <c r="C7" s="8">
        <v>7.5</v>
      </c>
      <c r="D7" s="8">
        <v>7.5</v>
      </c>
      <c r="E7" s="8">
        <v>7.5</v>
      </c>
      <c r="F7" s="3" t="s">
        <v>1598</v>
      </c>
      <c r="G7" s="3" t="s">
        <v>1603</v>
      </c>
    </row>
    <row r="8" spans="1:7">
      <c r="A8" s="3" t="s">
        <v>151</v>
      </c>
      <c r="B8" s="3" t="s">
        <v>152</v>
      </c>
      <c r="C8" s="8">
        <v>7</v>
      </c>
      <c r="D8" s="8">
        <v>8.5</v>
      </c>
      <c r="E8" s="8">
        <v>7.449999999999999</v>
      </c>
      <c r="F8" s="3" t="s">
        <v>1604</v>
      </c>
      <c r="G8" s="3" t="s">
        <v>1605</v>
      </c>
    </row>
    <row r="9" spans="1:7">
      <c r="A9" s="3" t="s">
        <v>1374</v>
      </c>
      <c r="B9" s="3" t="s">
        <v>1375</v>
      </c>
      <c r="C9" s="8">
        <v>7</v>
      </c>
      <c r="D9" s="8">
        <v>8</v>
      </c>
      <c r="E9" s="8">
        <v>7.299999999999999</v>
      </c>
      <c r="F9" s="3" t="s">
        <v>1598</v>
      </c>
      <c r="G9" s="3" t="s">
        <v>1606</v>
      </c>
    </row>
    <row r="10" spans="1:7">
      <c r="A10" s="3" t="s">
        <v>920</v>
      </c>
      <c r="B10" s="3" t="s">
        <v>921</v>
      </c>
      <c r="C10" s="8">
        <v>7</v>
      </c>
      <c r="D10" s="8">
        <v>8</v>
      </c>
      <c r="E10" s="8">
        <v>7.299999999999999</v>
      </c>
      <c r="F10" s="3" t="s">
        <v>1598</v>
      </c>
      <c r="G10" s="3" t="s">
        <v>1607</v>
      </c>
    </row>
    <row r="11" spans="1:7">
      <c r="A11" s="3" t="s">
        <v>947</v>
      </c>
      <c r="B11" s="3" t="s">
        <v>948</v>
      </c>
      <c r="C11" s="8">
        <v>8</v>
      </c>
      <c r="D11" s="9">
        <v>5.5</v>
      </c>
      <c r="E11" s="8">
        <v>7.25</v>
      </c>
      <c r="F11" s="3" t="s">
        <v>1598</v>
      </c>
      <c r="G11" s="3" t="s">
        <v>1608</v>
      </c>
    </row>
    <row r="12" spans="1:7">
      <c r="A12" s="3" t="s">
        <v>1269</v>
      </c>
      <c r="B12" s="3" t="s">
        <v>1270</v>
      </c>
      <c r="C12" s="8">
        <v>7.5</v>
      </c>
      <c r="D12" s="9">
        <v>6.5</v>
      </c>
      <c r="E12" s="8">
        <v>7.2</v>
      </c>
      <c r="F12" s="3" t="s">
        <v>1598</v>
      </c>
      <c r="G12" s="3" t="s">
        <v>1609</v>
      </c>
    </row>
    <row r="13" spans="1:7">
      <c r="A13" s="3" t="s">
        <v>1464</v>
      </c>
      <c r="B13" s="3" t="s">
        <v>1465</v>
      </c>
      <c r="C13" s="8">
        <v>7</v>
      </c>
      <c r="D13" s="8">
        <v>7.5</v>
      </c>
      <c r="E13" s="8">
        <v>7.149999999999999</v>
      </c>
      <c r="F13" s="3" t="s">
        <v>1598</v>
      </c>
      <c r="G13" s="3" t="s">
        <v>1610</v>
      </c>
    </row>
    <row r="14" spans="1:7">
      <c r="A14" s="3" t="s">
        <v>1553</v>
      </c>
      <c r="B14" s="3" t="s">
        <v>1554</v>
      </c>
      <c r="C14" s="8">
        <v>7.5</v>
      </c>
      <c r="D14" s="9">
        <v>6</v>
      </c>
      <c r="E14" s="8">
        <v>7.05</v>
      </c>
      <c r="F14" s="3" t="s">
        <v>1598</v>
      </c>
      <c r="G14" s="3" t="s">
        <v>1611</v>
      </c>
    </row>
    <row r="15" spans="1:7">
      <c r="A15" s="3" t="s">
        <v>962</v>
      </c>
      <c r="B15" s="3" t="s">
        <v>963</v>
      </c>
      <c r="C15" s="8">
        <v>7.5</v>
      </c>
      <c r="D15" s="9">
        <v>6</v>
      </c>
      <c r="E15" s="8">
        <v>7.05</v>
      </c>
      <c r="F15" s="3" t="s">
        <v>1598</v>
      </c>
      <c r="G15" s="3" t="s">
        <v>1612</v>
      </c>
    </row>
    <row r="16" spans="1:7">
      <c r="A16" s="3" t="s">
        <v>209</v>
      </c>
      <c r="B16" s="3" t="s">
        <v>210</v>
      </c>
      <c r="C16" s="8">
        <v>7</v>
      </c>
      <c r="D16" s="8">
        <v>7</v>
      </c>
      <c r="E16" s="8">
        <v>7</v>
      </c>
      <c r="F16" s="3" t="s">
        <v>1598</v>
      </c>
      <c r="G16" s="3" t="s">
        <v>1613</v>
      </c>
    </row>
    <row r="17" spans="1:7">
      <c r="A17" s="3" t="s">
        <v>622</v>
      </c>
      <c r="B17" s="3" t="s">
        <v>623</v>
      </c>
      <c r="C17" s="8">
        <v>7.5</v>
      </c>
      <c r="D17" s="9">
        <v>5.5</v>
      </c>
      <c r="E17" s="8">
        <v>6.9</v>
      </c>
      <c r="F17" s="3" t="s">
        <v>1598</v>
      </c>
      <c r="G17" s="3" t="s">
        <v>1614</v>
      </c>
    </row>
    <row r="18" spans="1:7">
      <c r="A18" s="3" t="s">
        <v>636</v>
      </c>
      <c r="B18" s="3" t="s">
        <v>637</v>
      </c>
      <c r="C18" s="8">
        <v>7</v>
      </c>
      <c r="D18" s="9">
        <v>6.5</v>
      </c>
      <c r="E18" s="8">
        <v>6.85</v>
      </c>
      <c r="F18" s="3" t="s">
        <v>1598</v>
      </c>
      <c r="G18" s="3" t="s">
        <v>1615</v>
      </c>
    </row>
    <row r="19" spans="1:7">
      <c r="A19" s="3" t="s">
        <v>1359</v>
      </c>
      <c r="B19" s="3" t="s">
        <v>1360</v>
      </c>
      <c r="C19" s="8">
        <v>7</v>
      </c>
      <c r="D19" s="9">
        <v>6.5</v>
      </c>
      <c r="E19" s="8">
        <v>6.85</v>
      </c>
      <c r="F19" s="3" t="s">
        <v>1598</v>
      </c>
      <c r="G19" s="3" t="s">
        <v>1616</v>
      </c>
    </row>
    <row r="20" spans="1:7">
      <c r="A20" s="3" t="s">
        <v>91</v>
      </c>
      <c r="B20" s="3" t="s">
        <v>92</v>
      </c>
      <c r="C20" s="9">
        <v>6.5</v>
      </c>
      <c r="D20" s="8">
        <v>7.5</v>
      </c>
      <c r="E20" s="8">
        <v>6.8</v>
      </c>
      <c r="F20" s="3" t="s">
        <v>1598</v>
      </c>
      <c r="G20" s="3" t="s">
        <v>1617</v>
      </c>
    </row>
    <row r="21" spans="1:7">
      <c r="A21" s="3" t="s">
        <v>106</v>
      </c>
      <c r="B21" s="3" t="s">
        <v>107</v>
      </c>
      <c r="C21" s="9">
        <v>6.5</v>
      </c>
      <c r="D21" s="8">
        <v>7.5</v>
      </c>
      <c r="E21" s="8">
        <v>6.8</v>
      </c>
      <c r="F21" s="3" t="s">
        <v>1598</v>
      </c>
      <c r="G21" s="3" t="s">
        <v>1618</v>
      </c>
    </row>
    <row r="22" spans="1:7">
      <c r="A22" s="3" t="s">
        <v>691</v>
      </c>
      <c r="B22" s="3" t="s">
        <v>692</v>
      </c>
      <c r="C22" s="9">
        <v>6.5</v>
      </c>
      <c r="D22" s="8">
        <v>7.5</v>
      </c>
      <c r="E22" s="8">
        <v>6.8</v>
      </c>
      <c r="F22" s="3" t="s">
        <v>1598</v>
      </c>
      <c r="G22" s="3" t="s">
        <v>1619</v>
      </c>
    </row>
    <row r="23" spans="1:7">
      <c r="A23" s="3" t="s">
        <v>1434</v>
      </c>
      <c r="B23" s="3" t="s">
        <v>1435</v>
      </c>
      <c r="C23" s="9">
        <v>6.5</v>
      </c>
      <c r="D23" s="8">
        <v>7.5</v>
      </c>
      <c r="E23" s="8">
        <v>6.8</v>
      </c>
      <c r="F23" s="3" t="s">
        <v>1598</v>
      </c>
      <c r="G23" s="3" t="s">
        <v>1620</v>
      </c>
    </row>
    <row r="24" spans="1:7">
      <c r="A24" s="3" t="s">
        <v>1136</v>
      </c>
      <c r="B24" s="3" t="s">
        <v>1137</v>
      </c>
      <c r="C24" s="8">
        <v>7.5</v>
      </c>
      <c r="D24" s="9">
        <v>5</v>
      </c>
      <c r="E24" s="8">
        <v>6.75</v>
      </c>
      <c r="F24" s="3" t="s">
        <v>1598</v>
      </c>
      <c r="G24" s="3" t="s">
        <v>1621</v>
      </c>
    </row>
    <row r="25" spans="1:7">
      <c r="A25" s="3" t="s">
        <v>357</v>
      </c>
      <c r="B25" s="3" t="s">
        <v>358</v>
      </c>
      <c r="C25" s="8">
        <v>7</v>
      </c>
      <c r="D25" s="9">
        <v>6</v>
      </c>
      <c r="E25" s="8">
        <v>6.699999999999999</v>
      </c>
      <c r="F25" s="3" t="s">
        <v>1598</v>
      </c>
      <c r="G25" s="3" t="s">
        <v>1622</v>
      </c>
    </row>
    <row r="26" spans="1:7">
      <c r="A26" s="3" t="s">
        <v>1254</v>
      </c>
      <c r="B26" s="3" t="s">
        <v>1255</v>
      </c>
      <c r="C26" s="8">
        <v>7</v>
      </c>
      <c r="D26" s="9">
        <v>6</v>
      </c>
      <c r="E26" s="8">
        <v>6.699999999999999</v>
      </c>
      <c r="F26" s="3" t="s">
        <v>1598</v>
      </c>
      <c r="G26" s="3" t="s">
        <v>1623</v>
      </c>
    </row>
    <row r="27" spans="1:7">
      <c r="A27" s="3" t="s">
        <v>1329</v>
      </c>
      <c r="B27" s="3" t="s">
        <v>1330</v>
      </c>
      <c r="C27" s="8">
        <v>7</v>
      </c>
      <c r="D27" s="9">
        <v>6</v>
      </c>
      <c r="E27" s="8">
        <v>6.699999999999999</v>
      </c>
      <c r="F27" s="3" t="s">
        <v>1598</v>
      </c>
      <c r="G27" s="3" t="s">
        <v>1624</v>
      </c>
    </row>
    <row r="28" spans="1:7">
      <c r="A28" s="3" t="s">
        <v>1344</v>
      </c>
      <c r="B28" s="3" t="s">
        <v>1345</v>
      </c>
      <c r="C28" s="8">
        <v>7</v>
      </c>
      <c r="D28" s="9">
        <v>6</v>
      </c>
      <c r="E28" s="8">
        <v>6.699999999999999</v>
      </c>
      <c r="F28" s="3" t="s">
        <v>1598</v>
      </c>
      <c r="G28" s="3" t="s">
        <v>1625</v>
      </c>
    </row>
    <row r="29" spans="1:7">
      <c r="A29" s="3" t="s">
        <v>1538</v>
      </c>
      <c r="B29" s="3" t="s">
        <v>1539</v>
      </c>
      <c r="C29" s="8">
        <v>7</v>
      </c>
      <c r="D29" s="9">
        <v>6</v>
      </c>
      <c r="E29" s="8">
        <v>6.699999999999999</v>
      </c>
      <c r="F29" s="3" t="s">
        <v>1598</v>
      </c>
      <c r="G29" s="3" t="s">
        <v>1626</v>
      </c>
    </row>
    <row r="30" spans="1:7">
      <c r="A30" s="3" t="s">
        <v>283</v>
      </c>
      <c r="B30" s="3" t="s">
        <v>284</v>
      </c>
      <c r="C30" s="9">
        <v>6.5</v>
      </c>
      <c r="D30" s="8">
        <v>7</v>
      </c>
      <c r="E30" s="9">
        <v>6.65</v>
      </c>
      <c r="F30" s="3"/>
      <c r="G30" s="3" t="s">
        <v>1627</v>
      </c>
    </row>
    <row r="31" spans="1:7">
      <c r="A31" s="3" t="s">
        <v>298</v>
      </c>
      <c r="B31" s="3" t="s">
        <v>299</v>
      </c>
      <c r="C31" s="9">
        <v>6.5</v>
      </c>
      <c r="D31" s="8">
        <v>7</v>
      </c>
      <c r="E31" s="9">
        <v>6.65</v>
      </c>
      <c r="F31" s="3"/>
      <c r="G31" s="3" t="s">
        <v>1628</v>
      </c>
    </row>
    <row r="32" spans="1:7">
      <c r="A32" s="3" t="s">
        <v>1404</v>
      </c>
      <c r="B32" s="3" t="s">
        <v>1405</v>
      </c>
      <c r="C32" s="9">
        <v>6.5</v>
      </c>
      <c r="D32" s="8">
        <v>7</v>
      </c>
      <c r="E32" s="9">
        <v>6.65</v>
      </c>
      <c r="F32" s="3"/>
      <c r="G32" s="3" t="s">
        <v>1629</v>
      </c>
    </row>
    <row r="33" spans="1:7">
      <c r="A33" s="3" t="s">
        <v>537</v>
      </c>
      <c r="B33" s="3" t="s">
        <v>538</v>
      </c>
      <c r="C33" s="8">
        <v>7.5</v>
      </c>
      <c r="D33" s="9">
        <v>4.5</v>
      </c>
      <c r="E33" s="9">
        <v>6.6</v>
      </c>
      <c r="F33" s="3"/>
      <c r="G33" s="3" t="s">
        <v>1630</v>
      </c>
    </row>
    <row r="34" spans="1:7">
      <c r="A34" s="3" t="s">
        <v>991</v>
      </c>
      <c r="B34" s="3" t="s">
        <v>992</v>
      </c>
      <c r="C34" s="8">
        <v>7.5</v>
      </c>
      <c r="D34" s="9">
        <v>4.5</v>
      </c>
      <c r="E34" s="9">
        <v>6.6</v>
      </c>
      <c r="F34" s="3"/>
      <c r="G34" s="3" t="s">
        <v>1631</v>
      </c>
    </row>
    <row r="35" spans="1:7">
      <c r="A35" s="3" t="s">
        <v>166</v>
      </c>
      <c r="B35" s="3" t="s">
        <v>167</v>
      </c>
      <c r="C35" s="8">
        <v>7</v>
      </c>
      <c r="D35" s="9">
        <v>5.5</v>
      </c>
      <c r="E35" s="9">
        <v>6.549999999999999</v>
      </c>
      <c r="F35" s="3"/>
      <c r="G35" s="3" t="s">
        <v>1632</v>
      </c>
    </row>
    <row r="36" spans="1:7">
      <c r="A36" s="3" t="s">
        <v>313</v>
      </c>
      <c r="B36" s="3" t="s">
        <v>314</v>
      </c>
      <c r="C36" s="8">
        <v>7</v>
      </c>
      <c r="D36" s="9">
        <v>5.5</v>
      </c>
      <c r="E36" s="9">
        <v>6.549999999999999</v>
      </c>
      <c r="F36" s="3" t="s">
        <v>1633</v>
      </c>
      <c r="G36" s="3" t="s">
        <v>1634</v>
      </c>
    </row>
    <row r="37" spans="1:7">
      <c r="A37" s="3" t="s">
        <v>492</v>
      </c>
      <c r="B37" s="3" t="s">
        <v>493</v>
      </c>
      <c r="C37" s="8">
        <v>7</v>
      </c>
      <c r="D37" s="9">
        <v>5.5</v>
      </c>
      <c r="E37" s="9">
        <v>6.549999999999999</v>
      </c>
      <c r="F37" s="3"/>
      <c r="G37" s="3" t="s">
        <v>1635</v>
      </c>
    </row>
    <row r="38" spans="1:7">
      <c r="A38" s="3" t="s">
        <v>747</v>
      </c>
      <c r="B38" s="3" t="s">
        <v>748</v>
      </c>
      <c r="C38" s="8">
        <v>7</v>
      </c>
      <c r="D38" s="9">
        <v>5.5</v>
      </c>
      <c r="E38" s="9">
        <v>6.549999999999999</v>
      </c>
      <c r="F38" s="3"/>
      <c r="G38" s="3" t="s">
        <v>1636</v>
      </c>
    </row>
    <row r="39" spans="1:7">
      <c r="A39" s="3" t="s">
        <v>1020</v>
      </c>
      <c r="B39" s="3" t="s">
        <v>1021</v>
      </c>
      <c r="C39" s="8">
        <v>7</v>
      </c>
      <c r="D39" s="9">
        <v>5.5</v>
      </c>
      <c r="E39" s="9">
        <v>6.549999999999999</v>
      </c>
      <c r="F39" s="3"/>
      <c r="G39" s="3" t="s">
        <v>1637</v>
      </c>
    </row>
    <row r="40" spans="1:7">
      <c r="A40" s="3" t="s">
        <v>1419</v>
      </c>
      <c r="B40" s="3" t="s">
        <v>1638</v>
      </c>
      <c r="C40" s="9">
        <v>6.5</v>
      </c>
      <c r="D40" s="9">
        <v>6.5</v>
      </c>
      <c r="E40" s="9">
        <v>6.5</v>
      </c>
      <c r="F40" s="3"/>
      <c r="G40" s="3" t="s">
        <v>1639</v>
      </c>
    </row>
    <row r="41" spans="1:7">
      <c r="A41" s="3" t="s">
        <v>1508</v>
      </c>
      <c r="B41" s="3" t="s">
        <v>1509</v>
      </c>
      <c r="C41" s="9">
        <v>6.5</v>
      </c>
      <c r="D41" s="9">
        <v>6.5</v>
      </c>
      <c r="E41" s="9">
        <v>6.5</v>
      </c>
      <c r="F41" s="3"/>
      <c r="G41" s="3" t="s">
        <v>1640</v>
      </c>
    </row>
    <row r="42" spans="1:7">
      <c r="A42" s="3" t="s">
        <v>1284</v>
      </c>
      <c r="B42" s="3" t="s">
        <v>1285</v>
      </c>
      <c r="C42" s="9">
        <v>6.5</v>
      </c>
      <c r="D42" s="9">
        <v>6</v>
      </c>
      <c r="E42" s="9">
        <v>6.35</v>
      </c>
      <c r="F42" s="3"/>
      <c r="G42" s="3" t="s">
        <v>1641</v>
      </c>
    </row>
    <row r="43" spans="1:7">
      <c r="A43" s="3" t="s">
        <v>1479</v>
      </c>
      <c r="B43" s="3" t="s">
        <v>1480</v>
      </c>
      <c r="C43" s="9">
        <v>6.5</v>
      </c>
      <c r="D43" s="9">
        <v>6</v>
      </c>
      <c r="E43" s="9">
        <v>6.35</v>
      </c>
      <c r="F43" s="3"/>
      <c r="G43" s="3" t="s">
        <v>1642</v>
      </c>
    </row>
    <row r="44" spans="1:7">
      <c r="A44" s="3" t="s">
        <v>934</v>
      </c>
      <c r="B44" s="3" t="s">
        <v>935</v>
      </c>
      <c r="C44" s="9">
        <v>6.5</v>
      </c>
      <c r="D44" s="9">
        <v>6</v>
      </c>
      <c r="E44" s="9">
        <v>6.35</v>
      </c>
      <c r="F44" s="3"/>
      <c r="G44" s="3" t="s">
        <v>1643</v>
      </c>
    </row>
    <row r="45" spans="1:7">
      <c r="A45" s="3" t="s">
        <v>1210</v>
      </c>
      <c r="B45" s="3" t="s">
        <v>1211</v>
      </c>
      <c r="C45" s="8">
        <v>7</v>
      </c>
      <c r="D45" s="9">
        <v>4.5</v>
      </c>
      <c r="E45" s="9">
        <v>6.249999999999999</v>
      </c>
      <c r="F45" s="3"/>
      <c r="G45" s="3" t="s">
        <v>1644</v>
      </c>
    </row>
    <row r="46" spans="1:7">
      <c r="A46" s="3" t="s">
        <v>705</v>
      </c>
      <c r="B46" s="3" t="s">
        <v>706</v>
      </c>
      <c r="C46" s="8">
        <v>7</v>
      </c>
      <c r="D46" s="9">
        <v>4.5</v>
      </c>
      <c r="E46" s="9">
        <v>6.249999999999999</v>
      </c>
      <c r="F46" s="3"/>
      <c r="G46" s="3" t="s">
        <v>1645</v>
      </c>
    </row>
    <row r="47" spans="1:7">
      <c r="A47" s="3" t="s">
        <v>1314</v>
      </c>
      <c r="B47" s="3" t="s">
        <v>1315</v>
      </c>
      <c r="C47" s="8">
        <v>7</v>
      </c>
      <c r="D47" s="9">
        <v>4.5</v>
      </c>
      <c r="E47" s="9">
        <v>6.249999999999999</v>
      </c>
      <c r="F47" s="3"/>
      <c r="G47" s="3" t="s">
        <v>1646</v>
      </c>
    </row>
    <row r="48" spans="1:7">
      <c r="A48" s="3" t="s">
        <v>976</v>
      </c>
      <c r="B48" s="3" t="s">
        <v>977</v>
      </c>
      <c r="C48" s="8">
        <v>7</v>
      </c>
      <c r="D48" s="9">
        <v>4.5</v>
      </c>
      <c r="E48" s="9">
        <v>6.249999999999999</v>
      </c>
      <c r="F48" s="3"/>
      <c r="G48" s="3" t="s">
        <v>1647</v>
      </c>
    </row>
    <row r="49" spans="1:7">
      <c r="A49" s="3" t="s">
        <v>1079</v>
      </c>
      <c r="B49" s="3" t="s">
        <v>1080</v>
      </c>
      <c r="C49" s="8">
        <v>7</v>
      </c>
      <c r="D49" s="9">
        <v>4.5</v>
      </c>
      <c r="E49" s="9">
        <v>6.249999999999999</v>
      </c>
      <c r="F49" s="3"/>
      <c r="G49" s="3" t="s">
        <v>1648</v>
      </c>
    </row>
    <row r="50" spans="1:7">
      <c r="A50" s="3" t="s">
        <v>1166</v>
      </c>
      <c r="B50" s="3" t="s">
        <v>1167</v>
      </c>
      <c r="C50" s="8">
        <v>7</v>
      </c>
      <c r="D50" s="9">
        <v>4.5</v>
      </c>
      <c r="E50" s="9">
        <v>6.249999999999999</v>
      </c>
      <c r="F50" s="3"/>
      <c r="G50" s="3" t="s">
        <v>1649</v>
      </c>
    </row>
    <row r="51" spans="1:7">
      <c r="A51" s="3" t="s">
        <v>268</v>
      </c>
      <c r="B51" s="3" t="s">
        <v>269</v>
      </c>
      <c r="C51" s="9">
        <v>6.5</v>
      </c>
      <c r="D51" s="9">
        <v>5.5</v>
      </c>
      <c r="E51" s="9">
        <v>6.199999999999999</v>
      </c>
      <c r="F51" s="3"/>
      <c r="G51" s="3" t="s">
        <v>1650</v>
      </c>
    </row>
    <row r="52" spans="1:7">
      <c r="A52" s="3" t="s">
        <v>507</v>
      </c>
      <c r="B52" s="3" t="s">
        <v>508</v>
      </c>
      <c r="C52" s="9">
        <v>6.5</v>
      </c>
      <c r="D52" s="9">
        <v>5.5</v>
      </c>
      <c r="E52" s="9">
        <v>6.199999999999999</v>
      </c>
      <c r="F52" s="3"/>
      <c r="G52" s="3" t="s">
        <v>1651</v>
      </c>
    </row>
    <row r="53" spans="1:7">
      <c r="A53" s="3" t="s">
        <v>677</v>
      </c>
      <c r="B53" s="3" t="s">
        <v>678</v>
      </c>
      <c r="C53" s="9">
        <v>6.5</v>
      </c>
      <c r="D53" s="9">
        <v>5.5</v>
      </c>
      <c r="E53" s="9">
        <v>6.199999999999999</v>
      </c>
      <c r="F53" s="3"/>
      <c r="G53" s="3" t="s">
        <v>1652</v>
      </c>
    </row>
    <row r="54" spans="1:7">
      <c r="A54" s="3" t="s">
        <v>136</v>
      </c>
      <c r="B54" s="3" t="s">
        <v>137</v>
      </c>
      <c r="C54" s="9">
        <v>6</v>
      </c>
      <c r="D54" s="9">
        <v>6.5</v>
      </c>
      <c r="E54" s="9">
        <v>6.149999999999999</v>
      </c>
      <c r="F54" s="3"/>
      <c r="G54" s="3" t="s">
        <v>1653</v>
      </c>
    </row>
    <row r="55" spans="1:7">
      <c r="A55" s="3" t="s">
        <v>552</v>
      </c>
      <c r="B55" s="3" t="s">
        <v>553</v>
      </c>
      <c r="C55" s="8">
        <v>7</v>
      </c>
      <c r="D55" s="10">
        <v>4</v>
      </c>
      <c r="E55" s="9">
        <v>6.1</v>
      </c>
      <c r="F55" s="3"/>
      <c r="G55" s="3" t="s">
        <v>1654</v>
      </c>
    </row>
    <row r="56" spans="1:7">
      <c r="A56" s="3" t="s">
        <v>580</v>
      </c>
      <c r="B56" s="3" t="s">
        <v>581</v>
      </c>
      <c r="C56" s="8">
        <v>7</v>
      </c>
      <c r="D56" s="10">
        <v>4</v>
      </c>
      <c r="E56" s="9">
        <v>6.1</v>
      </c>
      <c r="F56" s="3"/>
      <c r="G56" s="3" t="s">
        <v>1655</v>
      </c>
    </row>
    <row r="57" spans="1:7">
      <c r="A57" s="3" t="s">
        <v>608</v>
      </c>
      <c r="B57" s="3" t="s">
        <v>609</v>
      </c>
      <c r="C57" s="8">
        <v>7</v>
      </c>
      <c r="D57" s="10">
        <v>4</v>
      </c>
      <c r="E57" s="9">
        <v>6.1</v>
      </c>
      <c r="F57" s="3"/>
      <c r="G57" s="3" t="s">
        <v>1656</v>
      </c>
    </row>
    <row r="58" spans="1:7">
      <c r="A58" s="3" t="s">
        <v>761</v>
      </c>
      <c r="B58" s="3" t="s">
        <v>762</v>
      </c>
      <c r="C58" s="8">
        <v>7</v>
      </c>
      <c r="D58" s="10">
        <v>4</v>
      </c>
      <c r="E58" s="9">
        <v>6.1</v>
      </c>
      <c r="F58" s="3"/>
      <c r="G58" s="3" t="s">
        <v>1657</v>
      </c>
    </row>
    <row r="59" spans="1:7">
      <c r="A59" s="3" t="s">
        <v>848</v>
      </c>
      <c r="B59" s="3" t="s">
        <v>849</v>
      </c>
      <c r="C59" s="8">
        <v>7</v>
      </c>
      <c r="D59" s="10">
        <v>4</v>
      </c>
      <c r="E59" s="9">
        <v>6.1</v>
      </c>
      <c r="F59" s="3"/>
      <c r="G59" s="3" t="s">
        <v>1658</v>
      </c>
    </row>
    <row r="60" spans="1:7">
      <c r="A60" s="3" t="s">
        <v>76</v>
      </c>
      <c r="B60" s="3" t="s">
        <v>77</v>
      </c>
      <c r="C60" s="9">
        <v>6.5</v>
      </c>
      <c r="D60" s="9">
        <v>5</v>
      </c>
      <c r="E60" s="9">
        <v>6.05</v>
      </c>
      <c r="F60" s="3"/>
      <c r="G60" s="3" t="s">
        <v>1659</v>
      </c>
    </row>
    <row r="61" spans="1:7">
      <c r="A61" s="3" t="s">
        <v>181</v>
      </c>
      <c r="B61" s="3" t="s">
        <v>182</v>
      </c>
      <c r="C61" s="9">
        <v>6.5</v>
      </c>
      <c r="D61" s="9">
        <v>5</v>
      </c>
      <c r="E61" s="9">
        <v>6.05</v>
      </c>
      <c r="F61" s="3"/>
      <c r="G61" s="3" t="s">
        <v>1660</v>
      </c>
    </row>
    <row r="62" spans="1:7">
      <c r="A62" s="3" t="s">
        <v>372</v>
      </c>
      <c r="B62" s="3" t="s">
        <v>373</v>
      </c>
      <c r="C62" s="9">
        <v>6.5</v>
      </c>
      <c r="D62" s="9">
        <v>5</v>
      </c>
      <c r="E62" s="9">
        <v>6.05</v>
      </c>
      <c r="F62" s="3"/>
      <c r="G62" s="3" t="s">
        <v>1661</v>
      </c>
    </row>
    <row r="63" spans="1:7">
      <c r="A63" s="3" t="s">
        <v>522</v>
      </c>
      <c r="B63" s="3" t="s">
        <v>523</v>
      </c>
      <c r="C63" s="9">
        <v>6.5</v>
      </c>
      <c r="D63" s="9">
        <v>5</v>
      </c>
      <c r="E63" s="9">
        <v>6.05</v>
      </c>
      <c r="F63" s="3"/>
      <c r="G63" s="3" t="s">
        <v>1662</v>
      </c>
    </row>
    <row r="64" spans="1:7">
      <c r="A64" s="3" t="s">
        <v>663</v>
      </c>
      <c r="B64" s="3" t="s">
        <v>664</v>
      </c>
      <c r="C64" s="9">
        <v>6.5</v>
      </c>
      <c r="D64" s="9">
        <v>5</v>
      </c>
      <c r="E64" s="9">
        <v>6.05</v>
      </c>
      <c r="F64" s="3"/>
      <c r="G64" s="3" t="s">
        <v>1663</v>
      </c>
    </row>
    <row r="65" spans="1:7">
      <c r="A65" s="3" t="s">
        <v>1299</v>
      </c>
      <c r="B65" s="3" t="s">
        <v>1300</v>
      </c>
      <c r="C65" s="9">
        <v>6.5</v>
      </c>
      <c r="D65" s="9">
        <v>5</v>
      </c>
      <c r="E65" s="9">
        <v>6.05</v>
      </c>
      <c r="F65" s="3"/>
      <c r="G65" s="3" t="s">
        <v>1664</v>
      </c>
    </row>
    <row r="66" spans="1:7">
      <c r="A66" s="3" t="s">
        <v>1449</v>
      </c>
      <c r="B66" s="3" t="s">
        <v>1450</v>
      </c>
      <c r="C66" s="9">
        <v>6.5</v>
      </c>
      <c r="D66" s="9">
        <v>5</v>
      </c>
      <c r="E66" s="9">
        <v>6.05</v>
      </c>
      <c r="F66" s="3"/>
      <c r="G66" s="3" t="s">
        <v>1665</v>
      </c>
    </row>
    <row r="67" spans="1:7">
      <c r="A67" s="3" t="s">
        <v>224</v>
      </c>
      <c r="B67" s="3" t="s">
        <v>225</v>
      </c>
      <c r="C67" s="9">
        <v>6</v>
      </c>
      <c r="D67" s="9">
        <v>6</v>
      </c>
      <c r="E67" s="9">
        <v>5.999999999999999</v>
      </c>
      <c r="F67" s="3"/>
      <c r="G67" s="3" t="s">
        <v>1666</v>
      </c>
    </row>
    <row r="68" spans="1:7">
      <c r="A68" s="3" t="s">
        <v>195</v>
      </c>
      <c r="B68" s="3" t="s">
        <v>196</v>
      </c>
      <c r="C68" s="9">
        <v>6.5</v>
      </c>
      <c r="D68" s="9">
        <v>4.5</v>
      </c>
      <c r="E68" s="9">
        <v>5.899999999999999</v>
      </c>
      <c r="F68" s="3"/>
      <c r="G68" s="3" t="s">
        <v>1667</v>
      </c>
    </row>
    <row r="69" spans="1:7">
      <c r="A69" s="3" t="s">
        <v>719</v>
      </c>
      <c r="B69" s="3" t="s">
        <v>720</v>
      </c>
      <c r="C69" s="9">
        <v>6.5</v>
      </c>
      <c r="D69" s="9">
        <v>4.5</v>
      </c>
      <c r="E69" s="9">
        <v>5.899999999999999</v>
      </c>
      <c r="F69" s="3"/>
      <c r="G69" s="3" t="s">
        <v>1668</v>
      </c>
    </row>
    <row r="70" spans="1:7">
      <c r="A70" s="3" t="s">
        <v>833</v>
      </c>
      <c r="B70" s="3" t="s">
        <v>834</v>
      </c>
      <c r="C70" s="9">
        <v>6.5</v>
      </c>
      <c r="D70" s="9">
        <v>4.5</v>
      </c>
      <c r="E70" s="9">
        <v>5.899999999999999</v>
      </c>
      <c r="F70" s="3"/>
      <c r="G70" s="3" t="s">
        <v>1669</v>
      </c>
    </row>
    <row r="71" spans="1:7">
      <c r="A71" s="3" t="s">
        <v>121</v>
      </c>
      <c r="B71" s="3" t="s">
        <v>122</v>
      </c>
      <c r="C71" s="9">
        <v>6</v>
      </c>
      <c r="D71" s="9">
        <v>5.5</v>
      </c>
      <c r="E71" s="9">
        <v>5.85</v>
      </c>
      <c r="F71" s="3"/>
      <c r="G71" s="3" t="s">
        <v>1670</v>
      </c>
    </row>
    <row r="72" spans="1:7">
      <c r="A72" s="3" t="s">
        <v>1494</v>
      </c>
      <c r="B72" s="3" t="s">
        <v>1495</v>
      </c>
      <c r="C72" s="9">
        <v>6</v>
      </c>
      <c r="D72" s="9">
        <v>5.5</v>
      </c>
      <c r="E72" s="9">
        <v>5.85</v>
      </c>
      <c r="F72" s="3"/>
      <c r="G72" s="3" t="s">
        <v>1671</v>
      </c>
    </row>
    <row r="73" spans="1:7">
      <c r="A73" s="3" t="s">
        <v>566</v>
      </c>
      <c r="B73" s="3" t="s">
        <v>567</v>
      </c>
      <c r="C73" s="8">
        <v>7</v>
      </c>
      <c r="D73" s="10">
        <v>3</v>
      </c>
      <c r="E73" s="9">
        <v>5.799999999999999</v>
      </c>
      <c r="F73" s="3"/>
      <c r="G73" s="3" t="s">
        <v>1672</v>
      </c>
    </row>
    <row r="74" spans="1:7">
      <c r="A74" s="3" t="s">
        <v>253</v>
      </c>
      <c r="B74" s="3" t="s">
        <v>254</v>
      </c>
      <c r="C74" s="9">
        <v>6.5</v>
      </c>
      <c r="D74" s="10">
        <v>4</v>
      </c>
      <c r="E74" s="9">
        <v>5.75</v>
      </c>
      <c r="F74" s="3"/>
      <c r="G74" s="3" t="s">
        <v>1673</v>
      </c>
    </row>
    <row r="75" spans="1:7">
      <c r="A75" s="3" t="s">
        <v>417</v>
      </c>
      <c r="B75" s="3" t="s">
        <v>418</v>
      </c>
      <c r="C75" s="9">
        <v>6.5</v>
      </c>
      <c r="D75" s="10">
        <v>4</v>
      </c>
      <c r="E75" s="9">
        <v>5.75</v>
      </c>
      <c r="F75" s="3"/>
      <c r="G75" s="3" t="s">
        <v>1674</v>
      </c>
    </row>
    <row r="76" spans="1:7">
      <c r="A76" s="3" t="s">
        <v>447</v>
      </c>
      <c r="B76" s="3" t="s">
        <v>448</v>
      </c>
      <c r="C76" s="9">
        <v>6.5</v>
      </c>
      <c r="D76" s="10">
        <v>4</v>
      </c>
      <c r="E76" s="9">
        <v>5.75</v>
      </c>
      <c r="F76" s="3"/>
      <c r="G76" s="3" t="s">
        <v>1675</v>
      </c>
    </row>
    <row r="77" spans="1:7">
      <c r="A77" s="3" t="s">
        <v>1195</v>
      </c>
      <c r="B77" s="3" t="s">
        <v>1196</v>
      </c>
      <c r="C77" s="9">
        <v>6.5</v>
      </c>
      <c r="D77" s="10">
        <v>4</v>
      </c>
      <c r="E77" s="9">
        <v>5.75</v>
      </c>
      <c r="F77" s="3"/>
      <c r="G77" s="3" t="s">
        <v>1676</v>
      </c>
    </row>
    <row r="78" spans="1:7">
      <c r="A78" s="3" t="s">
        <v>1225</v>
      </c>
      <c r="B78" s="3" t="s">
        <v>1226</v>
      </c>
      <c r="C78" s="9">
        <v>6.5</v>
      </c>
      <c r="D78" s="10">
        <v>4</v>
      </c>
      <c r="E78" s="9">
        <v>5.75</v>
      </c>
      <c r="F78" s="3"/>
      <c r="G78" s="3" t="s">
        <v>1677</v>
      </c>
    </row>
    <row r="79" spans="1:7">
      <c r="A79" s="3" t="s">
        <v>594</v>
      </c>
      <c r="B79" s="3" t="s">
        <v>595</v>
      </c>
      <c r="C79" s="9">
        <v>6.5</v>
      </c>
      <c r="D79" s="10">
        <v>4</v>
      </c>
      <c r="E79" s="9">
        <v>5.75</v>
      </c>
      <c r="F79" s="3"/>
      <c r="G79" s="3" t="s">
        <v>1678</v>
      </c>
    </row>
    <row r="80" spans="1:7">
      <c r="A80" s="3" t="s">
        <v>649</v>
      </c>
      <c r="B80" s="3" t="s">
        <v>650</v>
      </c>
      <c r="C80" s="9">
        <v>6.5</v>
      </c>
      <c r="D80" s="10">
        <v>4</v>
      </c>
      <c r="E80" s="9">
        <v>5.75</v>
      </c>
      <c r="F80" s="3"/>
      <c r="G80" s="3" t="s">
        <v>1679</v>
      </c>
    </row>
    <row r="81" spans="1:7">
      <c r="A81" s="3" t="s">
        <v>1093</v>
      </c>
      <c r="B81" s="3" t="s">
        <v>1094</v>
      </c>
      <c r="C81" s="9">
        <v>6.5</v>
      </c>
      <c r="D81" s="10">
        <v>4</v>
      </c>
      <c r="E81" s="9">
        <v>5.75</v>
      </c>
      <c r="F81" s="3"/>
      <c r="G81" s="3" t="s">
        <v>1680</v>
      </c>
    </row>
    <row r="82" spans="1:7">
      <c r="A82" s="3" t="s">
        <v>1151</v>
      </c>
      <c r="B82" s="3" t="s">
        <v>1152</v>
      </c>
      <c r="C82" s="9">
        <v>6.5</v>
      </c>
      <c r="D82" s="10">
        <v>4</v>
      </c>
      <c r="E82" s="9">
        <v>5.75</v>
      </c>
      <c r="F82" s="3"/>
      <c r="G82" s="3" t="s">
        <v>1681</v>
      </c>
    </row>
    <row r="83" spans="1:7">
      <c r="A83" s="3" t="s">
        <v>1523</v>
      </c>
      <c r="B83" s="3" t="s">
        <v>1524</v>
      </c>
      <c r="C83" s="9">
        <v>6</v>
      </c>
      <c r="D83" s="9">
        <v>5</v>
      </c>
      <c r="E83" s="9">
        <v>5.699999999999999</v>
      </c>
      <c r="F83" s="3"/>
      <c r="G83" s="3" t="s">
        <v>1682</v>
      </c>
    </row>
    <row r="84" spans="1:7">
      <c r="A84" s="3" t="s">
        <v>432</v>
      </c>
      <c r="B84" s="3" t="s">
        <v>433</v>
      </c>
      <c r="C84" s="9">
        <v>6.5</v>
      </c>
      <c r="D84" s="10">
        <v>3.5</v>
      </c>
      <c r="E84" s="9">
        <v>5.6</v>
      </c>
      <c r="F84" s="3"/>
      <c r="G84" s="3" t="s">
        <v>1683</v>
      </c>
    </row>
    <row r="85" spans="1:7">
      <c r="A85" s="3" t="s">
        <v>1006</v>
      </c>
      <c r="B85" s="3" t="s">
        <v>1007</v>
      </c>
      <c r="C85" s="9">
        <v>6.5</v>
      </c>
      <c r="D85" s="10">
        <v>3.5</v>
      </c>
      <c r="E85" s="9">
        <v>5.6</v>
      </c>
      <c r="F85" s="3"/>
      <c r="G85" s="3" t="s">
        <v>1684</v>
      </c>
    </row>
    <row r="86" spans="1:7">
      <c r="A86" s="3" t="s">
        <v>1064</v>
      </c>
      <c r="B86" s="3" t="s">
        <v>1065</v>
      </c>
      <c r="C86" s="9">
        <v>6.5</v>
      </c>
      <c r="D86" s="10">
        <v>3.5</v>
      </c>
      <c r="E86" s="9">
        <v>5.6</v>
      </c>
      <c r="F86" s="3"/>
      <c r="G86" s="3" t="s">
        <v>1685</v>
      </c>
    </row>
    <row r="87" spans="1:7">
      <c r="A87" s="3" t="s">
        <v>238</v>
      </c>
      <c r="B87" s="3" t="s">
        <v>239</v>
      </c>
      <c r="C87" s="9">
        <v>6</v>
      </c>
      <c r="D87" s="9">
        <v>4.5</v>
      </c>
      <c r="E87" s="9">
        <v>5.549999999999999</v>
      </c>
      <c r="F87" s="3"/>
      <c r="G87" s="3" t="s">
        <v>1686</v>
      </c>
    </row>
    <row r="88" spans="1:7">
      <c r="A88" s="3" t="s">
        <v>387</v>
      </c>
      <c r="B88" s="3" t="s">
        <v>388</v>
      </c>
      <c r="C88" s="9">
        <v>6</v>
      </c>
      <c r="D88" s="9">
        <v>4.5</v>
      </c>
      <c r="E88" s="9">
        <v>5.549999999999999</v>
      </c>
      <c r="F88" s="3"/>
      <c r="G88" s="3" t="s">
        <v>1687</v>
      </c>
    </row>
    <row r="89" spans="1:7">
      <c r="A89" s="3" t="s">
        <v>402</v>
      </c>
      <c r="B89" s="3" t="s">
        <v>1688</v>
      </c>
      <c r="C89" s="9">
        <v>6</v>
      </c>
      <c r="D89" s="9">
        <v>4.5</v>
      </c>
      <c r="E89" s="9">
        <v>5.549999999999999</v>
      </c>
      <c r="F89" s="3"/>
      <c r="G89" s="3" t="s">
        <v>1689</v>
      </c>
    </row>
    <row r="90" spans="1:7">
      <c r="A90" s="3" t="s">
        <v>462</v>
      </c>
      <c r="B90" s="3" t="s">
        <v>463</v>
      </c>
      <c r="C90" s="9">
        <v>6</v>
      </c>
      <c r="D90" s="9">
        <v>4.5</v>
      </c>
      <c r="E90" s="9">
        <v>5.549999999999999</v>
      </c>
      <c r="F90" s="3"/>
      <c r="G90" s="3" t="s">
        <v>1690</v>
      </c>
    </row>
    <row r="91" spans="1:7">
      <c r="A91" s="3" t="s">
        <v>1181</v>
      </c>
      <c r="B91" s="3" t="s">
        <v>1182</v>
      </c>
      <c r="C91" s="9">
        <v>6</v>
      </c>
      <c r="D91" s="9">
        <v>4.5</v>
      </c>
      <c r="E91" s="9">
        <v>5.549999999999999</v>
      </c>
      <c r="F91" s="3"/>
      <c r="G91" s="3" t="s">
        <v>1691</v>
      </c>
    </row>
    <row r="92" spans="1:7">
      <c r="A92" s="3" t="s">
        <v>477</v>
      </c>
      <c r="B92" s="3" t="s">
        <v>478</v>
      </c>
      <c r="C92" s="9">
        <v>6</v>
      </c>
      <c r="D92" s="10">
        <v>4</v>
      </c>
      <c r="E92" s="9">
        <v>5.399999999999999</v>
      </c>
      <c r="F92" s="3"/>
      <c r="G92" s="3" t="s">
        <v>1692</v>
      </c>
    </row>
    <row r="93" spans="1:7">
      <c r="A93" s="3" t="s">
        <v>733</v>
      </c>
      <c r="B93" s="3" t="s">
        <v>734</v>
      </c>
      <c r="C93" s="9">
        <v>6</v>
      </c>
      <c r="D93" s="10">
        <v>4</v>
      </c>
      <c r="E93" s="9">
        <v>5.399999999999999</v>
      </c>
      <c r="F93" s="3"/>
      <c r="G93" s="3" t="s">
        <v>1693</v>
      </c>
    </row>
    <row r="94" spans="1:7">
      <c r="A94" s="3" t="s">
        <v>775</v>
      </c>
      <c r="B94" s="3" t="s">
        <v>776</v>
      </c>
      <c r="C94" s="9">
        <v>6</v>
      </c>
      <c r="D94" s="10">
        <v>3.5</v>
      </c>
      <c r="E94" s="9">
        <v>5.249999999999999</v>
      </c>
      <c r="F94" s="3"/>
      <c r="G94" s="3" t="s">
        <v>1694</v>
      </c>
    </row>
    <row r="95" spans="1:7">
      <c r="A95" s="3" t="s">
        <v>862</v>
      </c>
      <c r="B95" s="3" t="s">
        <v>863</v>
      </c>
      <c r="C95" s="9">
        <v>6</v>
      </c>
      <c r="D95" s="10">
        <v>3.5</v>
      </c>
      <c r="E95" s="9">
        <v>5.249999999999999</v>
      </c>
      <c r="F95" s="3"/>
      <c r="G95" s="3" t="s">
        <v>1695</v>
      </c>
    </row>
    <row r="96" spans="1:7">
      <c r="A96" s="3" t="s">
        <v>876</v>
      </c>
      <c r="B96" s="3" t="s">
        <v>877</v>
      </c>
      <c r="C96" s="9">
        <v>6</v>
      </c>
      <c r="D96" s="10">
        <v>3.5</v>
      </c>
      <c r="E96" s="9">
        <v>5.249999999999999</v>
      </c>
      <c r="F96" s="3"/>
      <c r="G96" s="3" t="s">
        <v>1696</v>
      </c>
    </row>
    <row r="97" spans="1:7">
      <c r="A97" s="3" t="s">
        <v>890</v>
      </c>
      <c r="B97" s="3" t="s">
        <v>891</v>
      </c>
      <c r="C97" s="9">
        <v>6</v>
      </c>
      <c r="D97" s="10">
        <v>3.5</v>
      </c>
      <c r="E97" s="9">
        <v>5.249999999999999</v>
      </c>
      <c r="F97" s="3"/>
      <c r="G97" s="3" t="s">
        <v>1697</v>
      </c>
    </row>
    <row r="98" spans="1:7">
      <c r="A98" s="3" t="s">
        <v>1122</v>
      </c>
      <c r="B98" s="3" t="s">
        <v>1123</v>
      </c>
      <c r="C98" s="9">
        <v>6</v>
      </c>
      <c r="D98" s="10">
        <v>3.5</v>
      </c>
      <c r="E98" s="9">
        <v>5.249999999999999</v>
      </c>
      <c r="F98" s="3"/>
      <c r="G98" s="3" t="s">
        <v>1698</v>
      </c>
    </row>
    <row r="99" spans="1:7">
      <c r="A99" s="3" t="s">
        <v>789</v>
      </c>
      <c r="B99" s="3" t="s">
        <v>790</v>
      </c>
      <c r="C99" s="9">
        <v>6</v>
      </c>
      <c r="D99" s="10">
        <v>3</v>
      </c>
      <c r="E99" s="9">
        <v>5.1</v>
      </c>
      <c r="F99" s="3"/>
      <c r="G99" s="3" t="s">
        <v>1699</v>
      </c>
    </row>
    <row r="100" spans="1:7">
      <c r="A100" s="3" t="s">
        <v>1035</v>
      </c>
      <c r="B100" s="3" t="s">
        <v>1036</v>
      </c>
      <c r="C100" s="9">
        <v>6</v>
      </c>
      <c r="D100" s="10">
        <v>3</v>
      </c>
      <c r="E100" s="9">
        <v>5.1</v>
      </c>
      <c r="F100" s="3"/>
      <c r="G100" s="3" t="s">
        <v>1700</v>
      </c>
    </row>
    <row r="101" spans="1:7">
      <c r="A101" s="3" t="s">
        <v>1050</v>
      </c>
      <c r="B101" s="3" t="s">
        <v>1051</v>
      </c>
      <c r="C101" s="9">
        <v>6</v>
      </c>
      <c r="D101" s="10">
        <v>3</v>
      </c>
      <c r="E101" s="9">
        <v>5.1</v>
      </c>
      <c r="F101" s="3"/>
      <c r="G101" s="3" t="s">
        <v>1701</v>
      </c>
    </row>
    <row r="102" spans="1:7">
      <c r="A102" s="3" t="s">
        <v>818</v>
      </c>
      <c r="B102" s="3" t="s">
        <v>819</v>
      </c>
      <c r="C102" s="9">
        <v>5.5</v>
      </c>
      <c r="D102" s="10">
        <v>3</v>
      </c>
      <c r="E102" s="9">
        <v>4.75</v>
      </c>
      <c r="F102" s="3"/>
      <c r="G102" s="3" t="s">
        <v>1702</v>
      </c>
    </row>
    <row r="103" spans="1:7">
      <c r="A103" s="3" t="s">
        <v>804</v>
      </c>
      <c r="B103" s="3" t="s">
        <v>805</v>
      </c>
      <c r="C103" s="9">
        <v>5.5</v>
      </c>
      <c r="D103" s="10">
        <v>2.5</v>
      </c>
      <c r="E103" s="9">
        <v>4.6</v>
      </c>
      <c r="F103" s="3"/>
      <c r="G103" s="3" t="s">
        <v>1703</v>
      </c>
    </row>
    <row r="104" spans="1:7">
      <c r="A104" s="3" t="s">
        <v>1107</v>
      </c>
      <c r="B104" s="3" t="s">
        <v>1108</v>
      </c>
      <c r="C104" s="9">
        <v>5.5</v>
      </c>
      <c r="D104" s="10">
        <v>2.5</v>
      </c>
      <c r="E104" s="9">
        <v>4.6</v>
      </c>
      <c r="F104" s="3"/>
      <c r="G104" s="3" t="s">
        <v>1704</v>
      </c>
    </row>
  </sheetData>
  <autoFilter ref="A1:G104"/>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307"/>
  <sheetViews>
    <sheetView workbookViewId="0">
      <pane ySplit="2" topLeftCell="A3" activePane="bottomLeft" state="frozen"/>
      <selection pane="bottomLeft"/>
    </sheetView>
  </sheetViews>
  <sheetFormatPr defaultRowHeight="15"/>
  <cols>
    <col min="1" max="1" width="9.7109375" customWidth="1"/>
    <col min="2" max="2" width="34.7109375" customWidth="1"/>
    <col min="3" max="3" width="38.7109375" customWidth="1"/>
    <col min="4" max="4" width="8.7109375" customWidth="1"/>
    <col min="5" max="5" width="9.7109375" customWidth="1"/>
    <col min="6" max="7" width="11.7109375" customWidth="1"/>
    <col min="8" max="8" width="10.7109375" customWidth="1"/>
    <col min="9" max="10" width="8.7109375" customWidth="1"/>
    <col min="11" max="12" width="10.7109375" customWidth="1"/>
  </cols>
  <sheetData>
    <row r="1" spans="1:12" ht="28" customHeight="1">
      <c r="A1" s="6" t="s">
        <v>1705</v>
      </c>
    </row>
    <row r="2" spans="1:12" ht="34" customHeight="1">
      <c r="A2" s="5" t="s">
        <v>46</v>
      </c>
      <c r="B2" s="5" t="s">
        <v>1706</v>
      </c>
      <c r="C2" s="5" t="s">
        <v>1571</v>
      </c>
      <c r="D2" s="5" t="s">
        <v>1707</v>
      </c>
      <c r="E2" s="5" t="s">
        <v>1708</v>
      </c>
      <c r="F2" s="5" t="s">
        <v>1709</v>
      </c>
      <c r="G2" s="5" t="s">
        <v>1710</v>
      </c>
      <c r="H2" s="5" t="s">
        <v>1711</v>
      </c>
      <c r="I2" s="5" t="s">
        <v>1712</v>
      </c>
      <c r="J2" s="5" t="s">
        <v>1713</v>
      </c>
      <c r="K2" s="5" t="s">
        <v>1714</v>
      </c>
      <c r="L2" s="5" t="s">
        <v>1715</v>
      </c>
    </row>
    <row r="3" spans="1:12">
      <c r="A3" s="3" t="s">
        <v>1716</v>
      </c>
      <c r="B3" s="3" t="s">
        <v>1717</v>
      </c>
      <c r="C3" s="3" t="s">
        <v>1718</v>
      </c>
      <c r="D3" s="7">
        <v>0.24</v>
      </c>
      <c r="E3" s="8">
        <v>8.5</v>
      </c>
      <c r="F3" s="8">
        <v>7.5</v>
      </c>
      <c r="G3" s="8">
        <v>8</v>
      </c>
      <c r="H3" s="8">
        <v>8</v>
      </c>
      <c r="I3" s="11">
        <v>7.5</v>
      </c>
      <c r="J3" s="11">
        <v>8.5</v>
      </c>
      <c r="K3" s="11">
        <v>1</v>
      </c>
      <c r="L3" s="11">
        <v>0.5</v>
      </c>
    </row>
    <row r="4" spans="1:12">
      <c r="A4" s="3" t="s">
        <v>1716</v>
      </c>
      <c r="B4" s="3" t="s">
        <v>1717</v>
      </c>
      <c r="C4" s="3" t="s">
        <v>1719</v>
      </c>
      <c r="D4" s="7">
        <v>0.18</v>
      </c>
      <c r="E4" s="8">
        <v>7</v>
      </c>
      <c r="F4" s="9">
        <v>6</v>
      </c>
      <c r="G4" s="9">
        <v>6.5</v>
      </c>
      <c r="H4" s="9">
        <v>6.5</v>
      </c>
      <c r="I4" s="11">
        <v>6</v>
      </c>
      <c r="J4" s="11">
        <v>7</v>
      </c>
      <c r="K4" s="11">
        <v>1</v>
      </c>
      <c r="L4" s="11">
        <v>0.5</v>
      </c>
    </row>
    <row r="5" spans="1:12">
      <c r="A5" s="3" t="s">
        <v>1716</v>
      </c>
      <c r="B5" s="3" t="s">
        <v>1717</v>
      </c>
      <c r="C5" s="3" t="s">
        <v>1720</v>
      </c>
      <c r="D5" s="7">
        <v>0.15</v>
      </c>
      <c r="E5" s="8">
        <v>9.5</v>
      </c>
      <c r="F5" s="8">
        <v>8.5</v>
      </c>
      <c r="G5" s="8">
        <v>9</v>
      </c>
      <c r="H5" s="8">
        <v>9</v>
      </c>
      <c r="I5" s="11">
        <v>8.5</v>
      </c>
      <c r="J5" s="11">
        <v>9.5</v>
      </c>
      <c r="K5" s="11">
        <v>1</v>
      </c>
      <c r="L5" s="11">
        <v>0.5</v>
      </c>
    </row>
    <row r="6" spans="1:12">
      <c r="A6" s="3" t="s">
        <v>1716</v>
      </c>
      <c r="B6" s="3" t="s">
        <v>1717</v>
      </c>
      <c r="C6" s="3" t="s">
        <v>1721</v>
      </c>
      <c r="D6" s="7">
        <v>0.13</v>
      </c>
      <c r="E6" s="9">
        <v>5.5</v>
      </c>
      <c r="F6" s="10">
        <v>4</v>
      </c>
      <c r="G6" s="9">
        <v>4.5</v>
      </c>
      <c r="H6" s="9">
        <v>4.666666666666667</v>
      </c>
      <c r="I6" s="11">
        <v>4</v>
      </c>
      <c r="J6" s="11">
        <v>5.5</v>
      </c>
      <c r="K6" s="11">
        <v>1.5</v>
      </c>
      <c r="L6" s="11">
        <v>0.7637626158259734</v>
      </c>
    </row>
    <row r="7" spans="1:12">
      <c r="A7" s="3" t="s">
        <v>1716</v>
      </c>
      <c r="B7" s="3" t="s">
        <v>1717</v>
      </c>
      <c r="C7" s="3" t="s">
        <v>1722</v>
      </c>
      <c r="D7" s="7">
        <v>0.12</v>
      </c>
      <c r="E7" s="8">
        <v>8.5</v>
      </c>
      <c r="F7" s="8">
        <v>7.5</v>
      </c>
      <c r="G7" s="8">
        <v>8</v>
      </c>
      <c r="H7" s="8">
        <v>8</v>
      </c>
      <c r="I7" s="11">
        <v>7.5</v>
      </c>
      <c r="J7" s="11">
        <v>8.5</v>
      </c>
      <c r="K7" s="11">
        <v>1</v>
      </c>
      <c r="L7" s="11">
        <v>0.5</v>
      </c>
    </row>
    <row r="8" spans="1:12">
      <c r="A8" s="3" t="s">
        <v>1716</v>
      </c>
      <c r="B8" s="3" t="s">
        <v>1717</v>
      </c>
      <c r="C8" s="3" t="s">
        <v>1723</v>
      </c>
      <c r="D8" s="7">
        <v>0.1</v>
      </c>
      <c r="E8" s="8">
        <v>8.5</v>
      </c>
      <c r="F8" s="8">
        <v>7.5</v>
      </c>
      <c r="G8" s="8">
        <v>8</v>
      </c>
      <c r="H8" s="8">
        <v>8</v>
      </c>
      <c r="I8" s="11">
        <v>7.5</v>
      </c>
      <c r="J8" s="11">
        <v>8.5</v>
      </c>
      <c r="K8" s="11">
        <v>1</v>
      </c>
      <c r="L8" s="11">
        <v>0.5</v>
      </c>
    </row>
    <row r="9" spans="1:12">
      <c r="A9" s="3" t="s">
        <v>1716</v>
      </c>
      <c r="B9" s="3" t="s">
        <v>1717</v>
      </c>
      <c r="C9" s="3" t="s">
        <v>1724</v>
      </c>
      <c r="D9" s="7">
        <v>0.08</v>
      </c>
      <c r="E9" s="9">
        <v>5</v>
      </c>
      <c r="F9" s="10">
        <v>4</v>
      </c>
      <c r="G9" s="9">
        <v>4.5</v>
      </c>
      <c r="H9" s="9">
        <v>4.5</v>
      </c>
      <c r="I9" s="11">
        <v>4</v>
      </c>
      <c r="J9" s="11">
        <v>5</v>
      </c>
      <c r="K9" s="11">
        <v>1</v>
      </c>
      <c r="L9" s="11">
        <v>0.5</v>
      </c>
    </row>
    <row r="10" spans="1:12">
      <c r="A10" s="3" t="s">
        <v>1716</v>
      </c>
      <c r="B10" s="3" t="s">
        <v>1717</v>
      </c>
      <c r="C10" s="3" t="s">
        <v>1725</v>
      </c>
      <c r="D10" s="7">
        <v>0.2</v>
      </c>
      <c r="E10" s="8">
        <v>8.5</v>
      </c>
      <c r="F10" s="8">
        <v>7.5</v>
      </c>
      <c r="G10" s="8">
        <v>8</v>
      </c>
      <c r="H10" s="8">
        <v>8</v>
      </c>
      <c r="I10" s="11">
        <v>7.5</v>
      </c>
      <c r="J10" s="11">
        <v>8.5</v>
      </c>
      <c r="K10" s="11">
        <v>1</v>
      </c>
      <c r="L10" s="11">
        <v>0.5</v>
      </c>
    </row>
    <row r="11" spans="1:12">
      <c r="A11" s="3" t="s">
        <v>1716</v>
      </c>
      <c r="B11" s="3" t="s">
        <v>1717</v>
      </c>
      <c r="C11" s="3" t="s">
        <v>1726</v>
      </c>
      <c r="D11" s="7">
        <v>0.16</v>
      </c>
      <c r="E11" s="8">
        <v>9.5</v>
      </c>
      <c r="F11" s="8">
        <v>8.5</v>
      </c>
      <c r="G11" s="8">
        <v>9</v>
      </c>
      <c r="H11" s="8">
        <v>9</v>
      </c>
      <c r="I11" s="11">
        <v>8.5</v>
      </c>
      <c r="J11" s="11">
        <v>9.5</v>
      </c>
      <c r="K11" s="11">
        <v>1</v>
      </c>
      <c r="L11" s="11">
        <v>0.5</v>
      </c>
    </row>
    <row r="12" spans="1:12">
      <c r="A12" s="3" t="s">
        <v>1716</v>
      </c>
      <c r="B12" s="3" t="s">
        <v>1717</v>
      </c>
      <c r="C12" s="3" t="s">
        <v>1727</v>
      </c>
      <c r="D12" s="7">
        <v>0.15</v>
      </c>
      <c r="E12" s="8">
        <v>9</v>
      </c>
      <c r="F12" s="8">
        <v>8.5</v>
      </c>
      <c r="G12" s="8">
        <v>8.5</v>
      </c>
      <c r="H12" s="8">
        <v>8.666666666666666</v>
      </c>
      <c r="I12" s="11">
        <v>8.5</v>
      </c>
      <c r="J12" s="11">
        <v>9</v>
      </c>
      <c r="K12" s="11">
        <v>0.5</v>
      </c>
      <c r="L12" s="11">
        <v>0.2886751345948129</v>
      </c>
    </row>
    <row r="13" spans="1:12">
      <c r="A13" s="3" t="s">
        <v>1716</v>
      </c>
      <c r="B13" s="3" t="s">
        <v>1717</v>
      </c>
      <c r="C13" s="3" t="s">
        <v>1728</v>
      </c>
      <c r="D13" s="7">
        <v>0.15</v>
      </c>
      <c r="E13" s="8">
        <v>8.5</v>
      </c>
      <c r="F13" s="8">
        <v>8</v>
      </c>
      <c r="G13" s="8">
        <v>8</v>
      </c>
      <c r="H13" s="8">
        <v>8.166666666666666</v>
      </c>
      <c r="I13" s="11">
        <v>8</v>
      </c>
      <c r="J13" s="11">
        <v>8.5</v>
      </c>
      <c r="K13" s="11">
        <v>0.5</v>
      </c>
      <c r="L13" s="11">
        <v>0.2886751345948129</v>
      </c>
    </row>
    <row r="14" spans="1:12">
      <c r="A14" s="3" t="s">
        <v>1716</v>
      </c>
      <c r="B14" s="3" t="s">
        <v>1717</v>
      </c>
      <c r="C14" s="3" t="s">
        <v>1729</v>
      </c>
      <c r="D14" s="7">
        <v>0.13</v>
      </c>
      <c r="E14" s="9">
        <v>6</v>
      </c>
      <c r="F14" s="9">
        <v>5</v>
      </c>
      <c r="G14" s="9">
        <v>5.5</v>
      </c>
      <c r="H14" s="9">
        <v>5.5</v>
      </c>
      <c r="I14" s="11">
        <v>5</v>
      </c>
      <c r="J14" s="11">
        <v>6</v>
      </c>
      <c r="K14" s="11">
        <v>1</v>
      </c>
      <c r="L14" s="11">
        <v>0.5</v>
      </c>
    </row>
    <row r="15" spans="1:12">
      <c r="A15" s="3" t="s">
        <v>1716</v>
      </c>
      <c r="B15" s="3" t="s">
        <v>1717</v>
      </c>
      <c r="C15" s="3" t="s">
        <v>1730</v>
      </c>
      <c r="D15" s="7">
        <v>0.12</v>
      </c>
      <c r="E15" s="8">
        <v>7</v>
      </c>
      <c r="F15" s="9">
        <v>6</v>
      </c>
      <c r="G15" s="9">
        <v>6.5</v>
      </c>
      <c r="H15" s="9">
        <v>6.5</v>
      </c>
      <c r="I15" s="11">
        <v>6</v>
      </c>
      <c r="J15" s="11">
        <v>7</v>
      </c>
      <c r="K15" s="11">
        <v>1</v>
      </c>
      <c r="L15" s="11">
        <v>0.5</v>
      </c>
    </row>
    <row r="16" spans="1:12">
      <c r="A16" s="3" t="s">
        <v>1716</v>
      </c>
      <c r="B16" s="3" t="s">
        <v>1717</v>
      </c>
      <c r="C16" s="3" t="s">
        <v>1731</v>
      </c>
      <c r="D16" s="7">
        <v>0.09</v>
      </c>
      <c r="E16" s="8">
        <v>9</v>
      </c>
      <c r="F16" s="8">
        <v>8.5</v>
      </c>
      <c r="G16" s="8">
        <v>9</v>
      </c>
      <c r="H16" s="8">
        <v>8.833333333333334</v>
      </c>
      <c r="I16" s="11">
        <v>8.5</v>
      </c>
      <c r="J16" s="11">
        <v>9</v>
      </c>
      <c r="K16" s="11">
        <v>0.5</v>
      </c>
      <c r="L16" s="11">
        <v>0.2886751345948129</v>
      </c>
    </row>
    <row r="17" spans="1:12">
      <c r="A17" s="2" t="s">
        <v>1716</v>
      </c>
      <c r="B17" s="2" t="s">
        <v>1717</v>
      </c>
      <c r="C17" s="2" t="s">
        <v>1732</v>
      </c>
      <c r="D17" s="2"/>
      <c r="E17" s="12">
        <v>7.71</v>
      </c>
      <c r="F17" s="12">
        <v>6.645</v>
      </c>
      <c r="G17" s="12">
        <v>7.145</v>
      </c>
      <c r="H17" s="12">
        <v>7.167</v>
      </c>
      <c r="I17" s="12">
        <v>6.645</v>
      </c>
      <c r="J17" s="12">
        <v>7.71</v>
      </c>
      <c r="K17" s="12">
        <v>1.065</v>
      </c>
      <c r="L17" s="12">
        <v>0.533</v>
      </c>
    </row>
    <row r="18" spans="1:12">
      <c r="A18" s="2" t="s">
        <v>1716</v>
      </c>
      <c r="B18" s="2" t="s">
        <v>1717</v>
      </c>
      <c r="C18" s="2" t="s">
        <v>1733</v>
      </c>
      <c r="D18" s="2"/>
      <c r="E18" s="12">
        <v>8.275</v>
      </c>
      <c r="F18" s="12">
        <v>7.47</v>
      </c>
      <c r="G18" s="12">
        <v>7.82</v>
      </c>
      <c r="H18" s="12">
        <v>7.855</v>
      </c>
      <c r="I18" s="12">
        <v>7.47</v>
      </c>
      <c r="J18" s="12">
        <v>8.275</v>
      </c>
      <c r="K18" s="12">
        <v>0.805</v>
      </c>
      <c r="L18" s="12">
        <v>0.404</v>
      </c>
    </row>
    <row r="19" spans="1:12">
      <c r="A19" s="2" t="s">
        <v>1716</v>
      </c>
      <c r="B19" s="2" t="s">
        <v>1717</v>
      </c>
      <c r="C19" s="2" t="s">
        <v>1734</v>
      </c>
      <c r="D19" s="2"/>
      <c r="E19" s="12">
        <v>7.879</v>
      </c>
      <c r="F19" s="12">
        <v>6.892</v>
      </c>
      <c r="G19" s="12">
        <v>7.347</v>
      </c>
      <c r="H19" s="12">
        <v>7.373</v>
      </c>
      <c r="I19" s="12">
        <v>6.892</v>
      </c>
      <c r="J19" s="12">
        <v>7.879</v>
      </c>
      <c r="K19" s="12">
        <v>0.987</v>
      </c>
      <c r="L19" s="12">
        <v>0.494</v>
      </c>
    </row>
    <row r="21" spans="1:12">
      <c r="A21" s="3" t="s">
        <v>61</v>
      </c>
      <c r="B21" s="3" t="s">
        <v>1735</v>
      </c>
      <c r="C21" s="3" t="s">
        <v>1718</v>
      </c>
      <c r="D21" s="7">
        <v>0.24</v>
      </c>
      <c r="E21" s="8">
        <v>8.5</v>
      </c>
      <c r="F21" s="8">
        <v>7.5</v>
      </c>
      <c r="G21" s="8">
        <v>8</v>
      </c>
      <c r="H21" s="8">
        <v>8</v>
      </c>
      <c r="I21" s="11">
        <v>7.5</v>
      </c>
      <c r="J21" s="11">
        <v>8.5</v>
      </c>
      <c r="K21" s="11">
        <v>1</v>
      </c>
      <c r="L21" s="11">
        <v>0.5</v>
      </c>
    </row>
    <row r="22" spans="1:12">
      <c r="A22" s="3" t="s">
        <v>61</v>
      </c>
      <c r="B22" s="3" t="s">
        <v>1735</v>
      </c>
      <c r="C22" s="3" t="s">
        <v>1719</v>
      </c>
      <c r="D22" s="7">
        <v>0.18</v>
      </c>
      <c r="E22" s="9">
        <v>5.5</v>
      </c>
      <c r="F22" s="9">
        <v>4.5</v>
      </c>
      <c r="G22" s="9">
        <v>5</v>
      </c>
      <c r="H22" s="9">
        <v>5</v>
      </c>
      <c r="I22" s="11">
        <v>4.5</v>
      </c>
      <c r="J22" s="11">
        <v>5.5</v>
      </c>
      <c r="K22" s="11">
        <v>1</v>
      </c>
      <c r="L22" s="11">
        <v>0.5</v>
      </c>
    </row>
    <row r="23" spans="1:12">
      <c r="A23" s="3" t="s">
        <v>61</v>
      </c>
      <c r="B23" s="3" t="s">
        <v>1735</v>
      </c>
      <c r="C23" s="3" t="s">
        <v>1720</v>
      </c>
      <c r="D23" s="7">
        <v>0.15</v>
      </c>
      <c r="E23" s="8">
        <v>9.5</v>
      </c>
      <c r="F23" s="8">
        <v>8.5</v>
      </c>
      <c r="G23" s="8">
        <v>9</v>
      </c>
      <c r="H23" s="8">
        <v>9</v>
      </c>
      <c r="I23" s="11">
        <v>8.5</v>
      </c>
      <c r="J23" s="11">
        <v>9.5</v>
      </c>
      <c r="K23" s="11">
        <v>1</v>
      </c>
      <c r="L23" s="11">
        <v>0.5</v>
      </c>
    </row>
    <row r="24" spans="1:12">
      <c r="A24" s="3" t="s">
        <v>61</v>
      </c>
      <c r="B24" s="3" t="s">
        <v>1735</v>
      </c>
      <c r="C24" s="3" t="s">
        <v>1721</v>
      </c>
      <c r="D24" s="7">
        <v>0.13</v>
      </c>
      <c r="E24" s="9">
        <v>5.5</v>
      </c>
      <c r="F24" s="10">
        <v>4</v>
      </c>
      <c r="G24" s="9">
        <v>4.5</v>
      </c>
      <c r="H24" s="9">
        <v>4.666666666666667</v>
      </c>
      <c r="I24" s="11">
        <v>4</v>
      </c>
      <c r="J24" s="11">
        <v>5.5</v>
      </c>
      <c r="K24" s="11">
        <v>1.5</v>
      </c>
      <c r="L24" s="11">
        <v>0.7637626158259734</v>
      </c>
    </row>
    <row r="25" spans="1:12">
      <c r="A25" s="3" t="s">
        <v>61</v>
      </c>
      <c r="B25" s="3" t="s">
        <v>1735</v>
      </c>
      <c r="C25" s="3" t="s">
        <v>1722</v>
      </c>
      <c r="D25" s="7">
        <v>0.12</v>
      </c>
      <c r="E25" s="8">
        <v>8.5</v>
      </c>
      <c r="F25" s="8">
        <v>7.5</v>
      </c>
      <c r="G25" s="8">
        <v>8</v>
      </c>
      <c r="H25" s="8">
        <v>8</v>
      </c>
      <c r="I25" s="11">
        <v>7.5</v>
      </c>
      <c r="J25" s="11">
        <v>8.5</v>
      </c>
      <c r="K25" s="11">
        <v>1</v>
      </c>
      <c r="L25" s="11">
        <v>0.5</v>
      </c>
    </row>
    <row r="26" spans="1:12">
      <c r="A26" s="3" t="s">
        <v>61</v>
      </c>
      <c r="B26" s="3" t="s">
        <v>1735</v>
      </c>
      <c r="C26" s="3" t="s">
        <v>1723</v>
      </c>
      <c r="D26" s="7">
        <v>0.1</v>
      </c>
      <c r="E26" s="8">
        <v>9</v>
      </c>
      <c r="F26" s="8">
        <v>8</v>
      </c>
      <c r="G26" s="8">
        <v>8.5</v>
      </c>
      <c r="H26" s="8">
        <v>8.5</v>
      </c>
      <c r="I26" s="11">
        <v>8</v>
      </c>
      <c r="J26" s="11">
        <v>9</v>
      </c>
      <c r="K26" s="11">
        <v>1</v>
      </c>
      <c r="L26" s="11">
        <v>0.5</v>
      </c>
    </row>
    <row r="27" spans="1:12">
      <c r="A27" s="3" t="s">
        <v>61</v>
      </c>
      <c r="B27" s="3" t="s">
        <v>1735</v>
      </c>
      <c r="C27" s="3" t="s">
        <v>1724</v>
      </c>
      <c r="D27" s="7">
        <v>0.08</v>
      </c>
      <c r="E27" s="10">
        <v>4</v>
      </c>
      <c r="F27" s="10">
        <v>3</v>
      </c>
      <c r="G27" s="10">
        <v>3.5</v>
      </c>
      <c r="H27" s="10">
        <v>3.5</v>
      </c>
      <c r="I27" s="11">
        <v>3</v>
      </c>
      <c r="J27" s="11">
        <v>4</v>
      </c>
      <c r="K27" s="11">
        <v>1</v>
      </c>
      <c r="L27" s="11">
        <v>0.5</v>
      </c>
    </row>
    <row r="28" spans="1:12">
      <c r="A28" s="3" t="s">
        <v>61</v>
      </c>
      <c r="B28" s="3" t="s">
        <v>1735</v>
      </c>
      <c r="C28" s="3" t="s">
        <v>1725</v>
      </c>
      <c r="D28" s="7">
        <v>0.2</v>
      </c>
      <c r="E28" s="8">
        <v>9</v>
      </c>
      <c r="F28" s="8">
        <v>8</v>
      </c>
      <c r="G28" s="8">
        <v>8.5</v>
      </c>
      <c r="H28" s="8">
        <v>8.5</v>
      </c>
      <c r="I28" s="11">
        <v>8</v>
      </c>
      <c r="J28" s="11">
        <v>9</v>
      </c>
      <c r="K28" s="11">
        <v>1</v>
      </c>
      <c r="L28" s="11">
        <v>0.5</v>
      </c>
    </row>
    <row r="29" spans="1:12">
      <c r="A29" s="3" t="s">
        <v>61</v>
      </c>
      <c r="B29" s="3" t="s">
        <v>1735</v>
      </c>
      <c r="C29" s="3" t="s">
        <v>1726</v>
      </c>
      <c r="D29" s="7">
        <v>0.16</v>
      </c>
      <c r="E29" s="8">
        <v>9.5</v>
      </c>
      <c r="F29" s="8">
        <v>8.5</v>
      </c>
      <c r="G29" s="8">
        <v>9</v>
      </c>
      <c r="H29" s="8">
        <v>9</v>
      </c>
      <c r="I29" s="11">
        <v>8.5</v>
      </c>
      <c r="J29" s="11">
        <v>9.5</v>
      </c>
      <c r="K29" s="11">
        <v>1</v>
      </c>
      <c r="L29" s="11">
        <v>0.5</v>
      </c>
    </row>
    <row r="30" spans="1:12">
      <c r="A30" s="3" t="s">
        <v>61</v>
      </c>
      <c r="B30" s="3" t="s">
        <v>1735</v>
      </c>
      <c r="C30" s="3" t="s">
        <v>1727</v>
      </c>
      <c r="D30" s="7">
        <v>0.15</v>
      </c>
      <c r="E30" s="8">
        <v>8.5</v>
      </c>
      <c r="F30" s="8">
        <v>7.5</v>
      </c>
      <c r="G30" s="8">
        <v>8</v>
      </c>
      <c r="H30" s="8">
        <v>8</v>
      </c>
      <c r="I30" s="11">
        <v>7.5</v>
      </c>
      <c r="J30" s="11">
        <v>8.5</v>
      </c>
      <c r="K30" s="11">
        <v>1</v>
      </c>
      <c r="L30" s="11">
        <v>0.5</v>
      </c>
    </row>
    <row r="31" spans="1:12">
      <c r="A31" s="3" t="s">
        <v>61</v>
      </c>
      <c r="B31" s="3" t="s">
        <v>1735</v>
      </c>
      <c r="C31" s="3" t="s">
        <v>1728</v>
      </c>
      <c r="D31" s="7">
        <v>0.15</v>
      </c>
      <c r="E31" s="8">
        <v>8.5</v>
      </c>
      <c r="F31" s="8">
        <v>8</v>
      </c>
      <c r="G31" s="8">
        <v>8</v>
      </c>
      <c r="H31" s="8">
        <v>8.166666666666666</v>
      </c>
      <c r="I31" s="11">
        <v>8</v>
      </c>
      <c r="J31" s="11">
        <v>8.5</v>
      </c>
      <c r="K31" s="11">
        <v>0.5</v>
      </c>
      <c r="L31" s="11">
        <v>0.2886751345948129</v>
      </c>
    </row>
    <row r="32" spans="1:12">
      <c r="A32" s="3" t="s">
        <v>61</v>
      </c>
      <c r="B32" s="3" t="s">
        <v>1735</v>
      </c>
      <c r="C32" s="3" t="s">
        <v>1729</v>
      </c>
      <c r="D32" s="7">
        <v>0.13</v>
      </c>
      <c r="E32" s="9">
        <v>6</v>
      </c>
      <c r="F32" s="9">
        <v>5</v>
      </c>
      <c r="G32" s="9">
        <v>5.5</v>
      </c>
      <c r="H32" s="9">
        <v>5.5</v>
      </c>
      <c r="I32" s="11">
        <v>5</v>
      </c>
      <c r="J32" s="11">
        <v>6</v>
      </c>
      <c r="K32" s="11">
        <v>1</v>
      </c>
      <c r="L32" s="11">
        <v>0.5</v>
      </c>
    </row>
    <row r="33" spans="1:12">
      <c r="A33" s="3" t="s">
        <v>61</v>
      </c>
      <c r="B33" s="3" t="s">
        <v>1735</v>
      </c>
      <c r="C33" s="3" t="s">
        <v>1730</v>
      </c>
      <c r="D33" s="7">
        <v>0.12</v>
      </c>
      <c r="E33" s="8">
        <v>7</v>
      </c>
      <c r="F33" s="9">
        <v>6</v>
      </c>
      <c r="G33" s="9">
        <v>6.5</v>
      </c>
      <c r="H33" s="9">
        <v>6.5</v>
      </c>
      <c r="I33" s="11">
        <v>6</v>
      </c>
      <c r="J33" s="11">
        <v>7</v>
      </c>
      <c r="K33" s="11">
        <v>1</v>
      </c>
      <c r="L33" s="11">
        <v>0.5</v>
      </c>
    </row>
    <row r="34" spans="1:12">
      <c r="A34" s="3" t="s">
        <v>61</v>
      </c>
      <c r="B34" s="3" t="s">
        <v>1735</v>
      </c>
      <c r="C34" s="3" t="s">
        <v>1731</v>
      </c>
      <c r="D34" s="7">
        <v>0.09</v>
      </c>
      <c r="E34" s="8">
        <v>9.5</v>
      </c>
      <c r="F34" s="8">
        <v>9</v>
      </c>
      <c r="G34" s="8">
        <v>9.5</v>
      </c>
      <c r="H34" s="8">
        <v>9.333333333333334</v>
      </c>
      <c r="I34" s="11">
        <v>9</v>
      </c>
      <c r="J34" s="11">
        <v>9.5</v>
      </c>
      <c r="K34" s="11">
        <v>0.5</v>
      </c>
      <c r="L34" s="11">
        <v>0.2886751345948129</v>
      </c>
    </row>
    <row r="35" spans="1:12">
      <c r="A35" s="2" t="s">
        <v>61</v>
      </c>
      <c r="B35" s="2" t="s">
        <v>1735</v>
      </c>
      <c r="C35" s="2" t="s">
        <v>1732</v>
      </c>
      <c r="D35" s="2"/>
      <c r="E35" s="12">
        <v>7.41</v>
      </c>
      <c r="F35" s="12">
        <v>6.345</v>
      </c>
      <c r="G35" s="12">
        <v>6.845</v>
      </c>
      <c r="H35" s="12">
        <v>6.867</v>
      </c>
      <c r="I35" s="12">
        <v>6.345</v>
      </c>
      <c r="J35" s="12">
        <v>7.41</v>
      </c>
      <c r="K35" s="12">
        <v>1.065</v>
      </c>
      <c r="L35" s="12">
        <v>0.533</v>
      </c>
    </row>
    <row r="36" spans="1:12">
      <c r="A36" s="2" t="s">
        <v>61</v>
      </c>
      <c r="B36" s="2" t="s">
        <v>1735</v>
      </c>
      <c r="C36" s="2" t="s">
        <v>1733</v>
      </c>
      <c r="D36" s="2"/>
      <c r="E36" s="12">
        <v>8.345000000000001</v>
      </c>
      <c r="F36" s="12">
        <v>7.465</v>
      </c>
      <c r="G36" s="12">
        <v>7.89</v>
      </c>
      <c r="H36" s="12">
        <v>7.9</v>
      </c>
      <c r="I36" s="12">
        <v>7.465</v>
      </c>
      <c r="J36" s="12">
        <v>8.345000000000001</v>
      </c>
      <c r="K36" s="12">
        <v>0.88</v>
      </c>
      <c r="L36" s="12">
        <v>0.44</v>
      </c>
    </row>
    <row r="37" spans="1:12">
      <c r="A37" s="2" t="s">
        <v>61</v>
      </c>
      <c r="B37" s="2" t="s">
        <v>1735</v>
      </c>
      <c r="C37" s="2" t="s">
        <v>1734</v>
      </c>
      <c r="D37" s="2"/>
      <c r="E37" s="12">
        <v>7.691</v>
      </c>
      <c r="F37" s="12">
        <v>6.681</v>
      </c>
      <c r="G37" s="12">
        <v>7.158</v>
      </c>
      <c r="H37" s="12">
        <v>7.177</v>
      </c>
      <c r="I37" s="12">
        <v>6.681</v>
      </c>
      <c r="J37" s="12">
        <v>7.691</v>
      </c>
      <c r="K37" s="12">
        <v>1.01</v>
      </c>
      <c r="L37" s="12">
        <v>0.505</v>
      </c>
    </row>
    <row r="39" spans="1:12">
      <c r="A39" s="3" t="s">
        <v>328</v>
      </c>
      <c r="B39" s="3" t="s">
        <v>1736</v>
      </c>
      <c r="C39" s="3" t="s">
        <v>1718</v>
      </c>
      <c r="D39" s="7">
        <v>0.24</v>
      </c>
      <c r="E39" s="8">
        <v>8</v>
      </c>
      <c r="F39" s="9">
        <v>6.5</v>
      </c>
      <c r="G39" s="8">
        <v>7</v>
      </c>
      <c r="H39" s="8">
        <v>7.166666666666667</v>
      </c>
      <c r="I39" s="11">
        <v>6.5</v>
      </c>
      <c r="J39" s="11">
        <v>8</v>
      </c>
      <c r="K39" s="11">
        <v>1.5</v>
      </c>
      <c r="L39" s="11">
        <v>0.7637626158259734</v>
      </c>
    </row>
    <row r="40" spans="1:12">
      <c r="A40" s="3" t="s">
        <v>328</v>
      </c>
      <c r="B40" s="3" t="s">
        <v>1736</v>
      </c>
      <c r="C40" s="3" t="s">
        <v>1719</v>
      </c>
      <c r="D40" s="7">
        <v>0.18</v>
      </c>
      <c r="E40" s="9">
        <v>6.5</v>
      </c>
      <c r="F40" s="9">
        <v>5</v>
      </c>
      <c r="G40" s="9">
        <v>5.5</v>
      </c>
      <c r="H40" s="9">
        <v>5.666666666666667</v>
      </c>
      <c r="I40" s="11">
        <v>5</v>
      </c>
      <c r="J40" s="11">
        <v>6.5</v>
      </c>
      <c r="K40" s="11">
        <v>1.5</v>
      </c>
      <c r="L40" s="11">
        <v>0.7637626158259734</v>
      </c>
    </row>
    <row r="41" spans="1:12">
      <c r="A41" s="3" t="s">
        <v>328</v>
      </c>
      <c r="B41" s="3" t="s">
        <v>1736</v>
      </c>
      <c r="C41" s="3" t="s">
        <v>1720</v>
      </c>
      <c r="D41" s="7">
        <v>0.15</v>
      </c>
      <c r="E41" s="8">
        <v>7.5</v>
      </c>
      <c r="F41" s="9">
        <v>6</v>
      </c>
      <c r="G41" s="9">
        <v>6.5</v>
      </c>
      <c r="H41" s="9">
        <v>6.666666666666667</v>
      </c>
      <c r="I41" s="11">
        <v>6</v>
      </c>
      <c r="J41" s="11">
        <v>7.5</v>
      </c>
      <c r="K41" s="11">
        <v>1.5</v>
      </c>
      <c r="L41" s="11">
        <v>0.7637626158259734</v>
      </c>
    </row>
    <row r="42" spans="1:12">
      <c r="A42" s="3" t="s">
        <v>328</v>
      </c>
      <c r="B42" s="3" t="s">
        <v>1736</v>
      </c>
      <c r="C42" s="3" t="s">
        <v>1721</v>
      </c>
      <c r="D42" s="7">
        <v>0.13</v>
      </c>
      <c r="E42" s="9">
        <v>6</v>
      </c>
      <c r="F42" s="9">
        <v>5</v>
      </c>
      <c r="G42" s="9">
        <v>5.5</v>
      </c>
      <c r="H42" s="9">
        <v>5.5</v>
      </c>
      <c r="I42" s="11">
        <v>5</v>
      </c>
      <c r="J42" s="11">
        <v>6</v>
      </c>
      <c r="K42" s="11">
        <v>1</v>
      </c>
      <c r="L42" s="11">
        <v>0.5</v>
      </c>
    </row>
    <row r="43" spans="1:12">
      <c r="A43" s="3" t="s">
        <v>328</v>
      </c>
      <c r="B43" s="3" t="s">
        <v>1736</v>
      </c>
      <c r="C43" s="3" t="s">
        <v>1722</v>
      </c>
      <c r="D43" s="7">
        <v>0.12</v>
      </c>
      <c r="E43" s="9">
        <v>6.5</v>
      </c>
      <c r="F43" s="9">
        <v>5.5</v>
      </c>
      <c r="G43" s="9">
        <v>6</v>
      </c>
      <c r="H43" s="9">
        <v>6</v>
      </c>
      <c r="I43" s="11">
        <v>5.5</v>
      </c>
      <c r="J43" s="11">
        <v>6.5</v>
      </c>
      <c r="K43" s="11">
        <v>1</v>
      </c>
      <c r="L43" s="11">
        <v>0.5</v>
      </c>
    </row>
    <row r="44" spans="1:12">
      <c r="A44" s="3" t="s">
        <v>328</v>
      </c>
      <c r="B44" s="3" t="s">
        <v>1736</v>
      </c>
      <c r="C44" s="3" t="s">
        <v>1723</v>
      </c>
      <c r="D44" s="7">
        <v>0.1</v>
      </c>
      <c r="E44" s="9">
        <v>6.5</v>
      </c>
      <c r="F44" s="9">
        <v>5</v>
      </c>
      <c r="G44" s="9">
        <v>5.5</v>
      </c>
      <c r="H44" s="9">
        <v>5.666666666666667</v>
      </c>
      <c r="I44" s="11">
        <v>5</v>
      </c>
      <c r="J44" s="11">
        <v>6.5</v>
      </c>
      <c r="K44" s="11">
        <v>1.5</v>
      </c>
      <c r="L44" s="11">
        <v>0.7637626158259734</v>
      </c>
    </row>
    <row r="45" spans="1:12">
      <c r="A45" s="3" t="s">
        <v>328</v>
      </c>
      <c r="B45" s="3" t="s">
        <v>1736</v>
      </c>
      <c r="C45" s="3" t="s">
        <v>1724</v>
      </c>
      <c r="D45" s="7">
        <v>0.08</v>
      </c>
      <c r="E45" s="10">
        <v>4</v>
      </c>
      <c r="F45" s="10">
        <v>3</v>
      </c>
      <c r="G45" s="10">
        <v>3.5</v>
      </c>
      <c r="H45" s="10">
        <v>3.5</v>
      </c>
      <c r="I45" s="11">
        <v>3</v>
      </c>
      <c r="J45" s="11">
        <v>4</v>
      </c>
      <c r="K45" s="11">
        <v>1</v>
      </c>
      <c r="L45" s="11">
        <v>0.5</v>
      </c>
    </row>
    <row r="46" spans="1:12">
      <c r="A46" s="3" t="s">
        <v>328</v>
      </c>
      <c r="B46" s="3" t="s">
        <v>1736</v>
      </c>
      <c r="C46" s="3" t="s">
        <v>1725</v>
      </c>
      <c r="D46" s="7">
        <v>0.2</v>
      </c>
      <c r="E46" s="8">
        <v>7.5</v>
      </c>
      <c r="F46" s="9">
        <v>6</v>
      </c>
      <c r="G46" s="9">
        <v>6.5</v>
      </c>
      <c r="H46" s="9">
        <v>6.666666666666667</v>
      </c>
      <c r="I46" s="11">
        <v>6</v>
      </c>
      <c r="J46" s="11">
        <v>7.5</v>
      </c>
      <c r="K46" s="11">
        <v>1.5</v>
      </c>
      <c r="L46" s="11">
        <v>0.7637626158259734</v>
      </c>
    </row>
    <row r="47" spans="1:12">
      <c r="A47" s="3" t="s">
        <v>328</v>
      </c>
      <c r="B47" s="3" t="s">
        <v>1736</v>
      </c>
      <c r="C47" s="3" t="s">
        <v>1726</v>
      </c>
      <c r="D47" s="7">
        <v>0.16</v>
      </c>
      <c r="E47" s="8">
        <v>8</v>
      </c>
      <c r="F47" s="8">
        <v>7</v>
      </c>
      <c r="G47" s="8">
        <v>7.5</v>
      </c>
      <c r="H47" s="8">
        <v>7.5</v>
      </c>
      <c r="I47" s="11">
        <v>7</v>
      </c>
      <c r="J47" s="11">
        <v>8</v>
      </c>
      <c r="K47" s="11">
        <v>1</v>
      </c>
      <c r="L47" s="11">
        <v>0.5</v>
      </c>
    </row>
    <row r="48" spans="1:12">
      <c r="A48" s="3" t="s">
        <v>328</v>
      </c>
      <c r="B48" s="3" t="s">
        <v>1736</v>
      </c>
      <c r="C48" s="3" t="s">
        <v>1727</v>
      </c>
      <c r="D48" s="7">
        <v>0.15</v>
      </c>
      <c r="E48" s="8">
        <v>9.5</v>
      </c>
      <c r="F48" s="8">
        <v>9</v>
      </c>
      <c r="G48" s="8">
        <v>9</v>
      </c>
      <c r="H48" s="8">
        <v>9.166666666666666</v>
      </c>
      <c r="I48" s="11">
        <v>9</v>
      </c>
      <c r="J48" s="11">
        <v>9.5</v>
      </c>
      <c r="K48" s="11">
        <v>0.5</v>
      </c>
      <c r="L48" s="11">
        <v>0.2886751345948129</v>
      </c>
    </row>
    <row r="49" spans="1:12">
      <c r="A49" s="3" t="s">
        <v>328</v>
      </c>
      <c r="B49" s="3" t="s">
        <v>1736</v>
      </c>
      <c r="C49" s="3" t="s">
        <v>1728</v>
      </c>
      <c r="D49" s="7">
        <v>0.15</v>
      </c>
      <c r="E49" s="8">
        <v>9</v>
      </c>
      <c r="F49" s="8">
        <v>8</v>
      </c>
      <c r="G49" s="8">
        <v>8.5</v>
      </c>
      <c r="H49" s="8">
        <v>8.5</v>
      </c>
      <c r="I49" s="11">
        <v>8</v>
      </c>
      <c r="J49" s="11">
        <v>9</v>
      </c>
      <c r="K49" s="11">
        <v>1</v>
      </c>
      <c r="L49" s="11">
        <v>0.5</v>
      </c>
    </row>
    <row r="50" spans="1:12">
      <c r="A50" s="3" t="s">
        <v>328</v>
      </c>
      <c r="B50" s="3" t="s">
        <v>1736</v>
      </c>
      <c r="C50" s="3" t="s">
        <v>1729</v>
      </c>
      <c r="D50" s="7">
        <v>0.13</v>
      </c>
      <c r="E50" s="9">
        <v>6</v>
      </c>
      <c r="F50" s="9">
        <v>4.5</v>
      </c>
      <c r="G50" s="9">
        <v>5</v>
      </c>
      <c r="H50" s="9">
        <v>5.166666666666667</v>
      </c>
      <c r="I50" s="11">
        <v>4.5</v>
      </c>
      <c r="J50" s="11">
        <v>6</v>
      </c>
      <c r="K50" s="11">
        <v>1.5</v>
      </c>
      <c r="L50" s="11">
        <v>0.7637626158259734</v>
      </c>
    </row>
    <row r="51" spans="1:12">
      <c r="A51" s="3" t="s">
        <v>328</v>
      </c>
      <c r="B51" s="3" t="s">
        <v>1736</v>
      </c>
      <c r="C51" s="3" t="s">
        <v>1730</v>
      </c>
      <c r="D51" s="7">
        <v>0.12</v>
      </c>
      <c r="E51" s="8">
        <v>7.5</v>
      </c>
      <c r="F51" s="9">
        <v>6.5</v>
      </c>
      <c r="G51" s="8">
        <v>7</v>
      </c>
      <c r="H51" s="8">
        <v>7</v>
      </c>
      <c r="I51" s="11">
        <v>6.5</v>
      </c>
      <c r="J51" s="11">
        <v>7.5</v>
      </c>
      <c r="K51" s="11">
        <v>1</v>
      </c>
      <c r="L51" s="11">
        <v>0.5</v>
      </c>
    </row>
    <row r="52" spans="1:12">
      <c r="A52" s="3" t="s">
        <v>328</v>
      </c>
      <c r="B52" s="3" t="s">
        <v>1736</v>
      </c>
      <c r="C52" s="3" t="s">
        <v>1731</v>
      </c>
      <c r="D52" s="7">
        <v>0.09</v>
      </c>
      <c r="E52" s="8">
        <v>9</v>
      </c>
      <c r="F52" s="8">
        <v>8.5</v>
      </c>
      <c r="G52" s="8">
        <v>9</v>
      </c>
      <c r="H52" s="8">
        <v>8.833333333333334</v>
      </c>
      <c r="I52" s="11">
        <v>8.5</v>
      </c>
      <c r="J52" s="11">
        <v>9</v>
      </c>
      <c r="K52" s="11">
        <v>0.5</v>
      </c>
      <c r="L52" s="11">
        <v>0.2886751345948129</v>
      </c>
    </row>
    <row r="53" spans="1:12">
      <c r="A53" s="2" t="s">
        <v>328</v>
      </c>
      <c r="B53" s="2" t="s">
        <v>1736</v>
      </c>
      <c r="C53" s="2" t="s">
        <v>1732</v>
      </c>
      <c r="D53" s="2"/>
      <c r="E53" s="12">
        <v>6.745</v>
      </c>
      <c r="F53" s="12">
        <v>5.41</v>
      </c>
      <c r="G53" s="12">
        <v>5.91</v>
      </c>
      <c r="H53" s="12">
        <v>6.022</v>
      </c>
      <c r="I53" s="12">
        <v>5.41</v>
      </c>
      <c r="J53" s="12">
        <v>6.745</v>
      </c>
      <c r="K53" s="12">
        <v>1.335</v>
      </c>
      <c r="L53" s="12">
        <v>0.674</v>
      </c>
    </row>
    <row r="54" spans="1:12">
      <c r="A54" s="2" t="s">
        <v>328</v>
      </c>
      <c r="B54" s="2" t="s">
        <v>1736</v>
      </c>
      <c r="C54" s="2" t="s">
        <v>1733</v>
      </c>
      <c r="D54" s="2"/>
      <c r="E54" s="12">
        <v>8.045</v>
      </c>
      <c r="F54" s="12">
        <v>7</v>
      </c>
      <c r="G54" s="12">
        <v>7.425</v>
      </c>
      <c r="H54" s="12">
        <v>7.49</v>
      </c>
      <c r="I54" s="12">
        <v>7</v>
      </c>
      <c r="J54" s="12">
        <v>8.045</v>
      </c>
      <c r="K54" s="12">
        <v>1.045</v>
      </c>
      <c r="L54" s="12">
        <v>0.526</v>
      </c>
    </row>
    <row r="55" spans="1:12">
      <c r="A55" s="2" t="s">
        <v>328</v>
      </c>
      <c r="B55" s="2" t="s">
        <v>1736</v>
      </c>
      <c r="C55" s="2" t="s">
        <v>1734</v>
      </c>
      <c r="D55" s="2"/>
      <c r="E55" s="12">
        <v>7.135</v>
      </c>
      <c r="F55" s="12">
        <v>5.887</v>
      </c>
      <c r="G55" s="12">
        <v>6.364</v>
      </c>
      <c r="H55" s="12">
        <v>6.462</v>
      </c>
      <c r="I55" s="12">
        <v>5.887</v>
      </c>
      <c r="J55" s="12">
        <v>7.135</v>
      </c>
      <c r="K55" s="12">
        <v>1.248</v>
      </c>
      <c r="L55" s="12">
        <v>0.63</v>
      </c>
    </row>
    <row r="57" spans="1:12">
      <c r="A57" s="3" t="s">
        <v>1389</v>
      </c>
      <c r="B57" s="3" t="s">
        <v>1737</v>
      </c>
      <c r="C57" s="3" t="s">
        <v>1718</v>
      </c>
      <c r="D57" s="7">
        <v>0.24</v>
      </c>
      <c r="E57" s="8">
        <v>7.5</v>
      </c>
      <c r="F57" s="9">
        <v>6</v>
      </c>
      <c r="G57" s="9">
        <v>6.5</v>
      </c>
      <c r="H57" s="9">
        <v>6.666666666666667</v>
      </c>
      <c r="I57" s="11">
        <v>6</v>
      </c>
      <c r="J57" s="11">
        <v>7.5</v>
      </c>
      <c r="K57" s="11">
        <v>1.5</v>
      </c>
      <c r="L57" s="11">
        <v>0.7637626158259734</v>
      </c>
    </row>
    <row r="58" spans="1:12">
      <c r="A58" s="3" t="s">
        <v>1389</v>
      </c>
      <c r="B58" s="3" t="s">
        <v>1737</v>
      </c>
      <c r="C58" s="3" t="s">
        <v>1719</v>
      </c>
      <c r="D58" s="7">
        <v>0.18</v>
      </c>
      <c r="E58" s="9">
        <v>6.5</v>
      </c>
      <c r="F58" s="9">
        <v>5</v>
      </c>
      <c r="G58" s="9">
        <v>5.5</v>
      </c>
      <c r="H58" s="9">
        <v>5.666666666666667</v>
      </c>
      <c r="I58" s="11">
        <v>5</v>
      </c>
      <c r="J58" s="11">
        <v>6.5</v>
      </c>
      <c r="K58" s="11">
        <v>1.5</v>
      </c>
      <c r="L58" s="11">
        <v>0.7637626158259734</v>
      </c>
    </row>
    <row r="59" spans="1:12">
      <c r="A59" s="3" t="s">
        <v>1389</v>
      </c>
      <c r="B59" s="3" t="s">
        <v>1737</v>
      </c>
      <c r="C59" s="3" t="s">
        <v>1720</v>
      </c>
      <c r="D59" s="7">
        <v>0.15</v>
      </c>
      <c r="E59" s="8">
        <v>8</v>
      </c>
      <c r="F59" s="9">
        <v>6.5</v>
      </c>
      <c r="G59" s="8">
        <v>7</v>
      </c>
      <c r="H59" s="8">
        <v>7.166666666666667</v>
      </c>
      <c r="I59" s="11">
        <v>6.5</v>
      </c>
      <c r="J59" s="11">
        <v>8</v>
      </c>
      <c r="K59" s="11">
        <v>1.5</v>
      </c>
      <c r="L59" s="11">
        <v>0.7637626158259734</v>
      </c>
    </row>
    <row r="60" spans="1:12">
      <c r="A60" s="3" t="s">
        <v>1389</v>
      </c>
      <c r="B60" s="3" t="s">
        <v>1737</v>
      </c>
      <c r="C60" s="3" t="s">
        <v>1721</v>
      </c>
      <c r="D60" s="7">
        <v>0.13</v>
      </c>
      <c r="E60" s="9">
        <v>6</v>
      </c>
      <c r="F60" s="9">
        <v>4.5</v>
      </c>
      <c r="G60" s="9">
        <v>5</v>
      </c>
      <c r="H60" s="9">
        <v>5.166666666666667</v>
      </c>
      <c r="I60" s="11">
        <v>4.5</v>
      </c>
      <c r="J60" s="11">
        <v>6</v>
      </c>
      <c r="K60" s="11">
        <v>1.5</v>
      </c>
      <c r="L60" s="11">
        <v>0.7637626158259734</v>
      </c>
    </row>
    <row r="61" spans="1:12">
      <c r="A61" s="3" t="s">
        <v>1389</v>
      </c>
      <c r="B61" s="3" t="s">
        <v>1737</v>
      </c>
      <c r="C61" s="3" t="s">
        <v>1722</v>
      </c>
      <c r="D61" s="7">
        <v>0.12</v>
      </c>
      <c r="E61" s="8">
        <v>7</v>
      </c>
      <c r="F61" s="9">
        <v>6</v>
      </c>
      <c r="G61" s="9">
        <v>6.5</v>
      </c>
      <c r="H61" s="9">
        <v>6.5</v>
      </c>
      <c r="I61" s="11">
        <v>6</v>
      </c>
      <c r="J61" s="11">
        <v>7</v>
      </c>
      <c r="K61" s="11">
        <v>1</v>
      </c>
      <c r="L61" s="11">
        <v>0.5</v>
      </c>
    </row>
    <row r="62" spans="1:12">
      <c r="A62" s="3" t="s">
        <v>1389</v>
      </c>
      <c r="B62" s="3" t="s">
        <v>1737</v>
      </c>
      <c r="C62" s="3" t="s">
        <v>1723</v>
      </c>
      <c r="D62" s="7">
        <v>0.1</v>
      </c>
      <c r="E62" s="9">
        <v>6</v>
      </c>
      <c r="F62" s="9">
        <v>4.5</v>
      </c>
      <c r="G62" s="9">
        <v>5</v>
      </c>
      <c r="H62" s="9">
        <v>5.166666666666667</v>
      </c>
      <c r="I62" s="11">
        <v>4.5</v>
      </c>
      <c r="J62" s="11">
        <v>6</v>
      </c>
      <c r="K62" s="11">
        <v>1.5</v>
      </c>
      <c r="L62" s="11">
        <v>0.7637626158259734</v>
      </c>
    </row>
    <row r="63" spans="1:12">
      <c r="A63" s="3" t="s">
        <v>1389</v>
      </c>
      <c r="B63" s="3" t="s">
        <v>1737</v>
      </c>
      <c r="C63" s="3" t="s">
        <v>1724</v>
      </c>
      <c r="D63" s="7">
        <v>0.08</v>
      </c>
      <c r="E63" s="10">
        <v>4</v>
      </c>
      <c r="F63" s="10">
        <v>3</v>
      </c>
      <c r="G63" s="10">
        <v>3.5</v>
      </c>
      <c r="H63" s="10">
        <v>3.5</v>
      </c>
      <c r="I63" s="11">
        <v>3</v>
      </c>
      <c r="J63" s="11">
        <v>4</v>
      </c>
      <c r="K63" s="11">
        <v>1</v>
      </c>
      <c r="L63" s="11">
        <v>0.5</v>
      </c>
    </row>
    <row r="64" spans="1:12">
      <c r="A64" s="3" t="s">
        <v>1389</v>
      </c>
      <c r="B64" s="3" t="s">
        <v>1737</v>
      </c>
      <c r="C64" s="3" t="s">
        <v>1725</v>
      </c>
      <c r="D64" s="7">
        <v>0.2</v>
      </c>
      <c r="E64" s="8">
        <v>7</v>
      </c>
      <c r="F64" s="9">
        <v>6</v>
      </c>
      <c r="G64" s="9">
        <v>6.5</v>
      </c>
      <c r="H64" s="9">
        <v>6.5</v>
      </c>
      <c r="I64" s="11">
        <v>6</v>
      </c>
      <c r="J64" s="11">
        <v>7</v>
      </c>
      <c r="K64" s="11">
        <v>1</v>
      </c>
      <c r="L64" s="11">
        <v>0.5</v>
      </c>
    </row>
    <row r="65" spans="1:12">
      <c r="A65" s="3" t="s">
        <v>1389</v>
      </c>
      <c r="B65" s="3" t="s">
        <v>1737</v>
      </c>
      <c r="C65" s="3" t="s">
        <v>1726</v>
      </c>
      <c r="D65" s="7">
        <v>0.16</v>
      </c>
      <c r="E65" s="8">
        <v>8.5</v>
      </c>
      <c r="F65" s="8">
        <v>7.5</v>
      </c>
      <c r="G65" s="8">
        <v>8</v>
      </c>
      <c r="H65" s="8">
        <v>8</v>
      </c>
      <c r="I65" s="11">
        <v>7.5</v>
      </c>
      <c r="J65" s="11">
        <v>8.5</v>
      </c>
      <c r="K65" s="11">
        <v>1</v>
      </c>
      <c r="L65" s="11">
        <v>0.5</v>
      </c>
    </row>
    <row r="66" spans="1:12">
      <c r="A66" s="3" t="s">
        <v>1389</v>
      </c>
      <c r="B66" s="3" t="s">
        <v>1737</v>
      </c>
      <c r="C66" s="3" t="s">
        <v>1727</v>
      </c>
      <c r="D66" s="7">
        <v>0.15</v>
      </c>
      <c r="E66" s="8">
        <v>9.5</v>
      </c>
      <c r="F66" s="8">
        <v>9</v>
      </c>
      <c r="G66" s="8">
        <v>9</v>
      </c>
      <c r="H66" s="8">
        <v>9.166666666666666</v>
      </c>
      <c r="I66" s="11">
        <v>9</v>
      </c>
      <c r="J66" s="11">
        <v>9.5</v>
      </c>
      <c r="K66" s="11">
        <v>0.5</v>
      </c>
      <c r="L66" s="11">
        <v>0.2886751345948129</v>
      </c>
    </row>
    <row r="67" spans="1:12">
      <c r="A67" s="3" t="s">
        <v>1389</v>
      </c>
      <c r="B67" s="3" t="s">
        <v>1737</v>
      </c>
      <c r="C67" s="3" t="s">
        <v>1728</v>
      </c>
      <c r="D67" s="7">
        <v>0.15</v>
      </c>
      <c r="E67" s="8">
        <v>9</v>
      </c>
      <c r="F67" s="8">
        <v>8</v>
      </c>
      <c r="G67" s="8">
        <v>8.5</v>
      </c>
      <c r="H67" s="8">
        <v>8.5</v>
      </c>
      <c r="I67" s="11">
        <v>8</v>
      </c>
      <c r="J67" s="11">
        <v>9</v>
      </c>
      <c r="K67" s="11">
        <v>1</v>
      </c>
      <c r="L67" s="11">
        <v>0.5</v>
      </c>
    </row>
    <row r="68" spans="1:12">
      <c r="A68" s="3" t="s">
        <v>1389</v>
      </c>
      <c r="B68" s="3" t="s">
        <v>1737</v>
      </c>
      <c r="C68" s="3" t="s">
        <v>1729</v>
      </c>
      <c r="D68" s="7">
        <v>0.13</v>
      </c>
      <c r="E68" s="9">
        <v>5</v>
      </c>
      <c r="F68" s="10">
        <v>4</v>
      </c>
      <c r="G68" s="9">
        <v>4.5</v>
      </c>
      <c r="H68" s="9">
        <v>4.5</v>
      </c>
      <c r="I68" s="11">
        <v>4</v>
      </c>
      <c r="J68" s="11">
        <v>5</v>
      </c>
      <c r="K68" s="11">
        <v>1</v>
      </c>
      <c r="L68" s="11">
        <v>0.5</v>
      </c>
    </row>
    <row r="69" spans="1:12">
      <c r="A69" s="3" t="s">
        <v>1389</v>
      </c>
      <c r="B69" s="3" t="s">
        <v>1737</v>
      </c>
      <c r="C69" s="3" t="s">
        <v>1730</v>
      </c>
      <c r="D69" s="7">
        <v>0.12</v>
      </c>
      <c r="E69" s="8">
        <v>7.5</v>
      </c>
      <c r="F69" s="9">
        <v>6.5</v>
      </c>
      <c r="G69" s="8">
        <v>7</v>
      </c>
      <c r="H69" s="8">
        <v>7</v>
      </c>
      <c r="I69" s="11">
        <v>6.5</v>
      </c>
      <c r="J69" s="11">
        <v>7.5</v>
      </c>
      <c r="K69" s="11">
        <v>1</v>
      </c>
      <c r="L69" s="11">
        <v>0.5</v>
      </c>
    </row>
    <row r="70" spans="1:12">
      <c r="A70" s="3" t="s">
        <v>1389</v>
      </c>
      <c r="B70" s="3" t="s">
        <v>1737</v>
      </c>
      <c r="C70" s="3" t="s">
        <v>1731</v>
      </c>
      <c r="D70" s="7">
        <v>0.09</v>
      </c>
      <c r="E70" s="8">
        <v>8.5</v>
      </c>
      <c r="F70" s="8">
        <v>8</v>
      </c>
      <c r="G70" s="8">
        <v>8.5</v>
      </c>
      <c r="H70" s="8">
        <v>8.333333333333334</v>
      </c>
      <c r="I70" s="11">
        <v>8</v>
      </c>
      <c r="J70" s="11">
        <v>8.5</v>
      </c>
      <c r="K70" s="11">
        <v>0.5</v>
      </c>
      <c r="L70" s="11">
        <v>0.2886751345948129</v>
      </c>
    </row>
    <row r="71" spans="1:12">
      <c r="A71" s="2" t="s">
        <v>1389</v>
      </c>
      <c r="B71" s="2" t="s">
        <v>1737</v>
      </c>
      <c r="C71" s="2" t="s">
        <v>1732</v>
      </c>
      <c r="D71" s="2"/>
      <c r="E71" s="12">
        <v>6.71</v>
      </c>
      <c r="F71" s="12">
        <v>5.31</v>
      </c>
      <c r="G71" s="12">
        <v>5.81</v>
      </c>
      <c r="H71" s="12">
        <v>5.943</v>
      </c>
      <c r="I71" s="12">
        <v>5.31</v>
      </c>
      <c r="J71" s="12">
        <v>6.71</v>
      </c>
      <c r="K71" s="12">
        <v>1.4</v>
      </c>
      <c r="L71" s="12">
        <v>0.709</v>
      </c>
    </row>
    <row r="72" spans="1:12">
      <c r="A72" s="2" t="s">
        <v>1389</v>
      </c>
      <c r="B72" s="2" t="s">
        <v>1737</v>
      </c>
      <c r="C72" s="2" t="s">
        <v>1733</v>
      </c>
      <c r="D72" s="2"/>
      <c r="E72" s="12">
        <v>7.85</v>
      </c>
      <c r="F72" s="12">
        <v>6.97</v>
      </c>
      <c r="G72" s="12">
        <v>7.395</v>
      </c>
      <c r="H72" s="12">
        <v>7.405</v>
      </c>
      <c r="I72" s="12">
        <v>6.97</v>
      </c>
      <c r="J72" s="12">
        <v>7.85</v>
      </c>
      <c r="K72" s="12">
        <v>0.88</v>
      </c>
      <c r="L72" s="12">
        <v>0.44</v>
      </c>
    </row>
    <row r="73" spans="1:12">
      <c r="A73" s="2" t="s">
        <v>1389</v>
      </c>
      <c r="B73" s="2" t="s">
        <v>1737</v>
      </c>
      <c r="C73" s="2" t="s">
        <v>1734</v>
      </c>
      <c r="D73" s="2"/>
      <c r="E73" s="12">
        <v>7.052</v>
      </c>
      <c r="F73" s="12">
        <v>5.808</v>
      </c>
      <c r="G73" s="12">
        <v>6.285</v>
      </c>
      <c r="H73" s="12">
        <v>6.382</v>
      </c>
      <c r="I73" s="12">
        <v>5.808</v>
      </c>
      <c r="J73" s="12">
        <v>7.052</v>
      </c>
      <c r="K73" s="12">
        <v>1.244</v>
      </c>
      <c r="L73" s="12">
        <v>0.628</v>
      </c>
    </row>
    <row r="75" spans="1:12">
      <c r="A75" s="3" t="s">
        <v>947</v>
      </c>
      <c r="B75" s="3" t="s">
        <v>1738</v>
      </c>
      <c r="C75" s="3" t="s">
        <v>1718</v>
      </c>
      <c r="D75" s="7">
        <v>0.24</v>
      </c>
      <c r="E75" s="8">
        <v>7.5</v>
      </c>
      <c r="F75" s="9">
        <v>6</v>
      </c>
      <c r="G75" s="9">
        <v>6.5</v>
      </c>
      <c r="H75" s="9">
        <v>6.666666666666667</v>
      </c>
      <c r="I75" s="11">
        <v>6</v>
      </c>
      <c r="J75" s="11">
        <v>7.5</v>
      </c>
      <c r="K75" s="11">
        <v>1.5</v>
      </c>
      <c r="L75" s="11">
        <v>0.7637626158259734</v>
      </c>
    </row>
    <row r="76" spans="1:12">
      <c r="A76" s="3" t="s">
        <v>947</v>
      </c>
      <c r="B76" s="3" t="s">
        <v>1738</v>
      </c>
      <c r="C76" s="3" t="s">
        <v>1719</v>
      </c>
      <c r="D76" s="7">
        <v>0.18</v>
      </c>
      <c r="E76" s="8">
        <v>7</v>
      </c>
      <c r="F76" s="9">
        <v>6</v>
      </c>
      <c r="G76" s="9">
        <v>6.5</v>
      </c>
      <c r="H76" s="9">
        <v>6.5</v>
      </c>
      <c r="I76" s="11">
        <v>6</v>
      </c>
      <c r="J76" s="11">
        <v>7</v>
      </c>
      <c r="K76" s="11">
        <v>1</v>
      </c>
      <c r="L76" s="11">
        <v>0.5</v>
      </c>
    </row>
    <row r="77" spans="1:12">
      <c r="A77" s="3" t="s">
        <v>947</v>
      </c>
      <c r="B77" s="3" t="s">
        <v>1738</v>
      </c>
      <c r="C77" s="3" t="s">
        <v>1720</v>
      </c>
      <c r="D77" s="7">
        <v>0.15</v>
      </c>
      <c r="E77" s="8">
        <v>8.5</v>
      </c>
      <c r="F77" s="8">
        <v>7.5</v>
      </c>
      <c r="G77" s="8">
        <v>8</v>
      </c>
      <c r="H77" s="8">
        <v>8</v>
      </c>
      <c r="I77" s="11">
        <v>7.5</v>
      </c>
      <c r="J77" s="11">
        <v>8.5</v>
      </c>
      <c r="K77" s="11">
        <v>1</v>
      </c>
      <c r="L77" s="11">
        <v>0.5</v>
      </c>
    </row>
    <row r="78" spans="1:12">
      <c r="A78" s="3" t="s">
        <v>947</v>
      </c>
      <c r="B78" s="3" t="s">
        <v>1738</v>
      </c>
      <c r="C78" s="3" t="s">
        <v>1721</v>
      </c>
      <c r="D78" s="7">
        <v>0.13</v>
      </c>
      <c r="E78" s="9">
        <v>6</v>
      </c>
      <c r="F78" s="9">
        <v>5</v>
      </c>
      <c r="G78" s="9">
        <v>5.5</v>
      </c>
      <c r="H78" s="9">
        <v>5.5</v>
      </c>
      <c r="I78" s="11">
        <v>5</v>
      </c>
      <c r="J78" s="11">
        <v>6</v>
      </c>
      <c r="K78" s="11">
        <v>1</v>
      </c>
      <c r="L78" s="11">
        <v>0.5</v>
      </c>
    </row>
    <row r="79" spans="1:12">
      <c r="A79" s="3" t="s">
        <v>947</v>
      </c>
      <c r="B79" s="3" t="s">
        <v>1738</v>
      </c>
      <c r="C79" s="3" t="s">
        <v>1722</v>
      </c>
      <c r="D79" s="7">
        <v>0.12</v>
      </c>
      <c r="E79" s="9">
        <v>6.5</v>
      </c>
      <c r="F79" s="9">
        <v>5.5</v>
      </c>
      <c r="G79" s="9">
        <v>6</v>
      </c>
      <c r="H79" s="9">
        <v>6</v>
      </c>
      <c r="I79" s="11">
        <v>5.5</v>
      </c>
      <c r="J79" s="11">
        <v>6.5</v>
      </c>
      <c r="K79" s="11">
        <v>1</v>
      </c>
      <c r="L79" s="11">
        <v>0.5</v>
      </c>
    </row>
    <row r="80" spans="1:12">
      <c r="A80" s="3" t="s">
        <v>947</v>
      </c>
      <c r="B80" s="3" t="s">
        <v>1738</v>
      </c>
      <c r="C80" s="3" t="s">
        <v>1723</v>
      </c>
      <c r="D80" s="7">
        <v>0.1</v>
      </c>
      <c r="E80" s="8">
        <v>7.5</v>
      </c>
      <c r="F80" s="9">
        <v>6.5</v>
      </c>
      <c r="G80" s="8">
        <v>7</v>
      </c>
      <c r="H80" s="8">
        <v>7</v>
      </c>
      <c r="I80" s="11">
        <v>6.5</v>
      </c>
      <c r="J80" s="11">
        <v>7.5</v>
      </c>
      <c r="K80" s="11">
        <v>1</v>
      </c>
      <c r="L80" s="11">
        <v>0.5</v>
      </c>
    </row>
    <row r="81" spans="1:12">
      <c r="A81" s="3" t="s">
        <v>947</v>
      </c>
      <c r="B81" s="3" t="s">
        <v>1738</v>
      </c>
      <c r="C81" s="3" t="s">
        <v>1724</v>
      </c>
      <c r="D81" s="7">
        <v>0.08</v>
      </c>
      <c r="E81" s="8">
        <v>7</v>
      </c>
      <c r="F81" s="9">
        <v>6</v>
      </c>
      <c r="G81" s="9">
        <v>6.5</v>
      </c>
      <c r="H81" s="9">
        <v>6.5</v>
      </c>
      <c r="I81" s="11">
        <v>6</v>
      </c>
      <c r="J81" s="11">
        <v>7</v>
      </c>
      <c r="K81" s="11">
        <v>1</v>
      </c>
      <c r="L81" s="11">
        <v>0.5</v>
      </c>
    </row>
    <row r="82" spans="1:12">
      <c r="A82" s="3" t="s">
        <v>947</v>
      </c>
      <c r="B82" s="3" t="s">
        <v>1738</v>
      </c>
      <c r="C82" s="3" t="s">
        <v>1725</v>
      </c>
      <c r="D82" s="7">
        <v>0.2</v>
      </c>
      <c r="E82" s="9">
        <v>4.5</v>
      </c>
      <c r="F82" s="10">
        <v>3.5</v>
      </c>
      <c r="G82" s="10">
        <v>4</v>
      </c>
      <c r="H82" s="10">
        <v>4</v>
      </c>
      <c r="I82" s="11">
        <v>3.5</v>
      </c>
      <c r="J82" s="11">
        <v>4.5</v>
      </c>
      <c r="K82" s="11">
        <v>1</v>
      </c>
      <c r="L82" s="11">
        <v>0.5</v>
      </c>
    </row>
    <row r="83" spans="1:12">
      <c r="A83" s="3" t="s">
        <v>947</v>
      </c>
      <c r="B83" s="3" t="s">
        <v>1738</v>
      </c>
      <c r="C83" s="3" t="s">
        <v>1726</v>
      </c>
      <c r="D83" s="7">
        <v>0.16</v>
      </c>
      <c r="E83" s="9">
        <v>5.5</v>
      </c>
      <c r="F83" s="10">
        <v>4</v>
      </c>
      <c r="G83" s="9">
        <v>4.5</v>
      </c>
      <c r="H83" s="9">
        <v>4.666666666666667</v>
      </c>
      <c r="I83" s="11">
        <v>4</v>
      </c>
      <c r="J83" s="11">
        <v>5.5</v>
      </c>
      <c r="K83" s="11">
        <v>1.5</v>
      </c>
      <c r="L83" s="11">
        <v>0.7637626158259734</v>
      </c>
    </row>
    <row r="84" spans="1:12">
      <c r="A84" s="3" t="s">
        <v>947</v>
      </c>
      <c r="B84" s="3" t="s">
        <v>1738</v>
      </c>
      <c r="C84" s="3" t="s">
        <v>1727</v>
      </c>
      <c r="D84" s="7">
        <v>0.15</v>
      </c>
      <c r="E84" s="8">
        <v>7.5</v>
      </c>
      <c r="F84" s="8">
        <v>7</v>
      </c>
      <c r="G84" s="8">
        <v>7</v>
      </c>
      <c r="H84" s="8">
        <v>7.166666666666667</v>
      </c>
      <c r="I84" s="11">
        <v>7</v>
      </c>
      <c r="J84" s="11">
        <v>7.5</v>
      </c>
      <c r="K84" s="11">
        <v>0.5</v>
      </c>
      <c r="L84" s="11">
        <v>0.2886751345948129</v>
      </c>
    </row>
    <row r="85" spans="1:12">
      <c r="A85" s="3" t="s">
        <v>947</v>
      </c>
      <c r="B85" s="3" t="s">
        <v>1738</v>
      </c>
      <c r="C85" s="3" t="s">
        <v>1728</v>
      </c>
      <c r="D85" s="7">
        <v>0.15</v>
      </c>
      <c r="E85" s="8">
        <v>7</v>
      </c>
      <c r="F85" s="9">
        <v>6</v>
      </c>
      <c r="G85" s="9">
        <v>6.5</v>
      </c>
      <c r="H85" s="9">
        <v>6.5</v>
      </c>
      <c r="I85" s="11">
        <v>6</v>
      </c>
      <c r="J85" s="11">
        <v>7</v>
      </c>
      <c r="K85" s="11">
        <v>1</v>
      </c>
      <c r="L85" s="11">
        <v>0.5</v>
      </c>
    </row>
    <row r="86" spans="1:12">
      <c r="A86" s="3" t="s">
        <v>947</v>
      </c>
      <c r="B86" s="3" t="s">
        <v>1738</v>
      </c>
      <c r="C86" s="3" t="s">
        <v>1729</v>
      </c>
      <c r="D86" s="7">
        <v>0.13</v>
      </c>
      <c r="E86" s="9">
        <v>6</v>
      </c>
      <c r="F86" s="9">
        <v>5</v>
      </c>
      <c r="G86" s="9">
        <v>5.5</v>
      </c>
      <c r="H86" s="9">
        <v>5.5</v>
      </c>
      <c r="I86" s="11">
        <v>5</v>
      </c>
      <c r="J86" s="11">
        <v>6</v>
      </c>
      <c r="K86" s="11">
        <v>1</v>
      </c>
      <c r="L86" s="11">
        <v>0.5</v>
      </c>
    </row>
    <row r="87" spans="1:12">
      <c r="A87" s="3" t="s">
        <v>947</v>
      </c>
      <c r="B87" s="3" t="s">
        <v>1738</v>
      </c>
      <c r="C87" s="3" t="s">
        <v>1730</v>
      </c>
      <c r="D87" s="7">
        <v>0.12</v>
      </c>
      <c r="E87" s="9">
        <v>6</v>
      </c>
      <c r="F87" s="9">
        <v>5</v>
      </c>
      <c r="G87" s="9">
        <v>5.5</v>
      </c>
      <c r="H87" s="9">
        <v>5.5</v>
      </c>
      <c r="I87" s="11">
        <v>5</v>
      </c>
      <c r="J87" s="11">
        <v>6</v>
      </c>
      <c r="K87" s="11">
        <v>1</v>
      </c>
      <c r="L87" s="11">
        <v>0.5</v>
      </c>
    </row>
    <row r="88" spans="1:12">
      <c r="A88" s="3" t="s">
        <v>947</v>
      </c>
      <c r="B88" s="3" t="s">
        <v>1738</v>
      </c>
      <c r="C88" s="3" t="s">
        <v>1731</v>
      </c>
      <c r="D88" s="7">
        <v>0.09</v>
      </c>
      <c r="E88" s="8">
        <v>7</v>
      </c>
      <c r="F88" s="9">
        <v>6.5</v>
      </c>
      <c r="G88" s="8">
        <v>7</v>
      </c>
      <c r="H88" s="8">
        <v>6.833333333333333</v>
      </c>
      <c r="I88" s="11">
        <v>6.5</v>
      </c>
      <c r="J88" s="11">
        <v>7</v>
      </c>
      <c r="K88" s="11">
        <v>0.5</v>
      </c>
      <c r="L88" s="11">
        <v>0.2886751345948129</v>
      </c>
    </row>
    <row r="89" spans="1:12">
      <c r="A89" s="2" t="s">
        <v>947</v>
      </c>
      <c r="B89" s="2" t="s">
        <v>1738</v>
      </c>
      <c r="C89" s="2" t="s">
        <v>1732</v>
      </c>
      <c r="D89" s="2"/>
      <c r="E89" s="12">
        <v>7.205</v>
      </c>
      <c r="F89" s="12">
        <v>6.085</v>
      </c>
      <c r="G89" s="12">
        <v>6.585</v>
      </c>
      <c r="H89" s="12">
        <v>6.625</v>
      </c>
      <c r="I89" s="12">
        <v>6.085</v>
      </c>
      <c r="J89" s="12">
        <v>7.205</v>
      </c>
      <c r="K89" s="12">
        <v>1.12</v>
      </c>
      <c r="L89" s="12">
        <v>0.5610000000000001</v>
      </c>
    </row>
    <row r="90" spans="1:12">
      <c r="A90" s="2" t="s">
        <v>947</v>
      </c>
      <c r="B90" s="2" t="s">
        <v>1738</v>
      </c>
      <c r="C90" s="2" t="s">
        <v>1733</v>
      </c>
      <c r="D90" s="2"/>
      <c r="E90" s="12">
        <v>6.085</v>
      </c>
      <c r="F90" s="12">
        <v>5.125</v>
      </c>
      <c r="G90" s="12">
        <v>5.55</v>
      </c>
      <c r="H90" s="12">
        <v>5.587</v>
      </c>
      <c r="I90" s="12">
        <v>5.125</v>
      </c>
      <c r="J90" s="12">
        <v>6.085</v>
      </c>
      <c r="K90" s="12">
        <v>0.96</v>
      </c>
      <c r="L90" s="12">
        <v>0.481</v>
      </c>
    </row>
    <row r="91" spans="1:12">
      <c r="A91" s="2" t="s">
        <v>947</v>
      </c>
      <c r="B91" s="2" t="s">
        <v>1738</v>
      </c>
      <c r="C91" s="2" t="s">
        <v>1734</v>
      </c>
      <c r="D91" s="2"/>
      <c r="E91" s="12">
        <v>6.869</v>
      </c>
      <c r="F91" s="12">
        <v>5.797</v>
      </c>
      <c r="G91" s="12">
        <v>6.274</v>
      </c>
      <c r="H91" s="12">
        <v>6.314</v>
      </c>
      <c r="I91" s="12">
        <v>5.797</v>
      </c>
      <c r="J91" s="12">
        <v>6.869</v>
      </c>
      <c r="K91" s="12">
        <v>1.072</v>
      </c>
      <c r="L91" s="12">
        <v>0.537</v>
      </c>
    </row>
    <row r="93" spans="1:12">
      <c r="A93" s="3" t="s">
        <v>1553</v>
      </c>
      <c r="B93" s="3" t="s">
        <v>1739</v>
      </c>
      <c r="C93" s="3" t="s">
        <v>1718</v>
      </c>
      <c r="D93" s="7">
        <v>0.24</v>
      </c>
      <c r="E93" s="8">
        <v>7</v>
      </c>
      <c r="F93" s="9">
        <v>6</v>
      </c>
      <c r="G93" s="9">
        <v>6.5</v>
      </c>
      <c r="H93" s="9">
        <v>6.5</v>
      </c>
      <c r="I93" s="11">
        <v>6</v>
      </c>
      <c r="J93" s="11">
        <v>7</v>
      </c>
      <c r="K93" s="11">
        <v>1</v>
      </c>
      <c r="L93" s="11">
        <v>0.5</v>
      </c>
    </row>
    <row r="94" spans="1:12">
      <c r="A94" s="3" t="s">
        <v>1553</v>
      </c>
      <c r="B94" s="3" t="s">
        <v>1739</v>
      </c>
      <c r="C94" s="3" t="s">
        <v>1719</v>
      </c>
      <c r="D94" s="7">
        <v>0.18</v>
      </c>
      <c r="E94" s="9">
        <v>6</v>
      </c>
      <c r="F94" s="9">
        <v>5</v>
      </c>
      <c r="G94" s="9">
        <v>5.5</v>
      </c>
      <c r="H94" s="9">
        <v>5.5</v>
      </c>
      <c r="I94" s="11">
        <v>5</v>
      </c>
      <c r="J94" s="11">
        <v>6</v>
      </c>
      <c r="K94" s="11">
        <v>1</v>
      </c>
      <c r="L94" s="11">
        <v>0.5</v>
      </c>
    </row>
    <row r="95" spans="1:12">
      <c r="A95" s="3" t="s">
        <v>1553</v>
      </c>
      <c r="B95" s="3" t="s">
        <v>1739</v>
      </c>
      <c r="C95" s="3" t="s">
        <v>1720</v>
      </c>
      <c r="D95" s="7">
        <v>0.15</v>
      </c>
      <c r="E95" s="8">
        <v>8.5</v>
      </c>
      <c r="F95" s="8">
        <v>7.5</v>
      </c>
      <c r="G95" s="8">
        <v>8</v>
      </c>
      <c r="H95" s="8">
        <v>8</v>
      </c>
      <c r="I95" s="11">
        <v>7.5</v>
      </c>
      <c r="J95" s="11">
        <v>8.5</v>
      </c>
      <c r="K95" s="11">
        <v>1</v>
      </c>
      <c r="L95" s="11">
        <v>0.5</v>
      </c>
    </row>
    <row r="96" spans="1:12">
      <c r="A96" s="3" t="s">
        <v>1553</v>
      </c>
      <c r="B96" s="3" t="s">
        <v>1739</v>
      </c>
      <c r="C96" s="3" t="s">
        <v>1721</v>
      </c>
      <c r="D96" s="7">
        <v>0.13</v>
      </c>
      <c r="E96" s="9">
        <v>6.5</v>
      </c>
      <c r="F96" s="9">
        <v>5</v>
      </c>
      <c r="G96" s="9">
        <v>5.5</v>
      </c>
      <c r="H96" s="9">
        <v>5.666666666666667</v>
      </c>
      <c r="I96" s="11">
        <v>5</v>
      </c>
      <c r="J96" s="11">
        <v>6.5</v>
      </c>
      <c r="K96" s="11">
        <v>1.5</v>
      </c>
      <c r="L96" s="11">
        <v>0.7637626158259734</v>
      </c>
    </row>
    <row r="97" spans="1:12">
      <c r="A97" s="3" t="s">
        <v>1553</v>
      </c>
      <c r="B97" s="3" t="s">
        <v>1739</v>
      </c>
      <c r="C97" s="3" t="s">
        <v>1722</v>
      </c>
      <c r="D97" s="7">
        <v>0.12</v>
      </c>
      <c r="E97" s="9">
        <v>6.5</v>
      </c>
      <c r="F97" s="9">
        <v>5.5</v>
      </c>
      <c r="G97" s="9">
        <v>6</v>
      </c>
      <c r="H97" s="9">
        <v>6</v>
      </c>
      <c r="I97" s="11">
        <v>5.5</v>
      </c>
      <c r="J97" s="11">
        <v>6.5</v>
      </c>
      <c r="K97" s="11">
        <v>1</v>
      </c>
      <c r="L97" s="11">
        <v>0.5</v>
      </c>
    </row>
    <row r="98" spans="1:12">
      <c r="A98" s="3" t="s">
        <v>1553</v>
      </c>
      <c r="B98" s="3" t="s">
        <v>1739</v>
      </c>
      <c r="C98" s="3" t="s">
        <v>1723</v>
      </c>
      <c r="D98" s="7">
        <v>0.1</v>
      </c>
      <c r="E98" s="8">
        <v>8.5</v>
      </c>
      <c r="F98" s="8">
        <v>7.5</v>
      </c>
      <c r="G98" s="8">
        <v>8</v>
      </c>
      <c r="H98" s="8">
        <v>8</v>
      </c>
      <c r="I98" s="11">
        <v>7.5</v>
      </c>
      <c r="J98" s="11">
        <v>8.5</v>
      </c>
      <c r="K98" s="11">
        <v>1</v>
      </c>
      <c r="L98" s="11">
        <v>0.5</v>
      </c>
    </row>
    <row r="99" spans="1:12">
      <c r="A99" s="3" t="s">
        <v>1553</v>
      </c>
      <c r="B99" s="3" t="s">
        <v>1739</v>
      </c>
      <c r="C99" s="3" t="s">
        <v>1724</v>
      </c>
      <c r="D99" s="7">
        <v>0.08</v>
      </c>
      <c r="E99" s="9">
        <v>5</v>
      </c>
      <c r="F99" s="10">
        <v>4</v>
      </c>
      <c r="G99" s="9">
        <v>4.5</v>
      </c>
      <c r="H99" s="9">
        <v>4.5</v>
      </c>
      <c r="I99" s="11">
        <v>4</v>
      </c>
      <c r="J99" s="11">
        <v>5</v>
      </c>
      <c r="K99" s="11">
        <v>1</v>
      </c>
      <c r="L99" s="11">
        <v>0.5</v>
      </c>
    </row>
    <row r="100" spans="1:12">
      <c r="A100" s="3" t="s">
        <v>1553</v>
      </c>
      <c r="B100" s="3" t="s">
        <v>1739</v>
      </c>
      <c r="C100" s="3" t="s">
        <v>1725</v>
      </c>
      <c r="D100" s="7">
        <v>0.2</v>
      </c>
      <c r="E100" s="9">
        <v>5.5</v>
      </c>
      <c r="F100" s="9">
        <v>4.5</v>
      </c>
      <c r="G100" s="9">
        <v>5</v>
      </c>
      <c r="H100" s="9">
        <v>5</v>
      </c>
      <c r="I100" s="11">
        <v>4.5</v>
      </c>
      <c r="J100" s="11">
        <v>5.5</v>
      </c>
      <c r="K100" s="11">
        <v>1</v>
      </c>
      <c r="L100" s="11">
        <v>0.5</v>
      </c>
    </row>
    <row r="101" spans="1:12">
      <c r="A101" s="3" t="s">
        <v>1553</v>
      </c>
      <c r="B101" s="3" t="s">
        <v>1739</v>
      </c>
      <c r="C101" s="3" t="s">
        <v>1726</v>
      </c>
      <c r="D101" s="7">
        <v>0.16</v>
      </c>
      <c r="E101" s="9">
        <v>5</v>
      </c>
      <c r="F101" s="10">
        <v>4</v>
      </c>
      <c r="G101" s="9">
        <v>4.5</v>
      </c>
      <c r="H101" s="9">
        <v>4.5</v>
      </c>
      <c r="I101" s="11">
        <v>4</v>
      </c>
      <c r="J101" s="11">
        <v>5</v>
      </c>
      <c r="K101" s="11">
        <v>1</v>
      </c>
      <c r="L101" s="11">
        <v>0.5</v>
      </c>
    </row>
    <row r="102" spans="1:12">
      <c r="A102" s="3" t="s">
        <v>1553</v>
      </c>
      <c r="B102" s="3" t="s">
        <v>1739</v>
      </c>
      <c r="C102" s="3" t="s">
        <v>1727</v>
      </c>
      <c r="D102" s="7">
        <v>0.15</v>
      </c>
      <c r="E102" s="9">
        <v>6</v>
      </c>
      <c r="F102" s="9">
        <v>5</v>
      </c>
      <c r="G102" s="9">
        <v>5.5</v>
      </c>
      <c r="H102" s="9">
        <v>5.5</v>
      </c>
      <c r="I102" s="11">
        <v>5</v>
      </c>
      <c r="J102" s="11">
        <v>6</v>
      </c>
      <c r="K102" s="11">
        <v>1</v>
      </c>
      <c r="L102" s="11">
        <v>0.5</v>
      </c>
    </row>
    <row r="103" spans="1:12">
      <c r="A103" s="3" t="s">
        <v>1553</v>
      </c>
      <c r="B103" s="3" t="s">
        <v>1739</v>
      </c>
      <c r="C103" s="3" t="s">
        <v>1728</v>
      </c>
      <c r="D103" s="7">
        <v>0.15</v>
      </c>
      <c r="E103" s="9">
        <v>6.5</v>
      </c>
      <c r="F103" s="9">
        <v>5.5</v>
      </c>
      <c r="G103" s="9">
        <v>6</v>
      </c>
      <c r="H103" s="9">
        <v>6</v>
      </c>
      <c r="I103" s="11">
        <v>5.5</v>
      </c>
      <c r="J103" s="11">
        <v>6.5</v>
      </c>
      <c r="K103" s="11">
        <v>1</v>
      </c>
      <c r="L103" s="11">
        <v>0.5</v>
      </c>
    </row>
    <row r="104" spans="1:12">
      <c r="A104" s="3" t="s">
        <v>1553</v>
      </c>
      <c r="B104" s="3" t="s">
        <v>1739</v>
      </c>
      <c r="C104" s="3" t="s">
        <v>1729</v>
      </c>
      <c r="D104" s="7">
        <v>0.13</v>
      </c>
      <c r="E104" s="9">
        <v>6</v>
      </c>
      <c r="F104" s="9">
        <v>5</v>
      </c>
      <c r="G104" s="9">
        <v>5.5</v>
      </c>
      <c r="H104" s="9">
        <v>5.5</v>
      </c>
      <c r="I104" s="11">
        <v>5</v>
      </c>
      <c r="J104" s="11">
        <v>6</v>
      </c>
      <c r="K104" s="11">
        <v>1</v>
      </c>
      <c r="L104" s="11">
        <v>0.5</v>
      </c>
    </row>
    <row r="105" spans="1:12">
      <c r="A105" s="3" t="s">
        <v>1553</v>
      </c>
      <c r="B105" s="3" t="s">
        <v>1739</v>
      </c>
      <c r="C105" s="3" t="s">
        <v>1730</v>
      </c>
      <c r="D105" s="7">
        <v>0.12</v>
      </c>
      <c r="E105" s="8">
        <v>7</v>
      </c>
      <c r="F105" s="9">
        <v>6</v>
      </c>
      <c r="G105" s="9">
        <v>6.5</v>
      </c>
      <c r="H105" s="9">
        <v>6.5</v>
      </c>
      <c r="I105" s="11">
        <v>6</v>
      </c>
      <c r="J105" s="11">
        <v>7</v>
      </c>
      <c r="K105" s="11">
        <v>1</v>
      </c>
      <c r="L105" s="11">
        <v>0.5</v>
      </c>
    </row>
    <row r="106" spans="1:12">
      <c r="A106" s="3" t="s">
        <v>1553</v>
      </c>
      <c r="B106" s="3" t="s">
        <v>1739</v>
      </c>
      <c r="C106" s="3" t="s">
        <v>1731</v>
      </c>
      <c r="D106" s="7">
        <v>0.09</v>
      </c>
      <c r="E106" s="9">
        <v>6.5</v>
      </c>
      <c r="F106" s="9">
        <v>6</v>
      </c>
      <c r="G106" s="9">
        <v>6</v>
      </c>
      <c r="H106" s="9">
        <v>6.166666666666667</v>
      </c>
      <c r="I106" s="11">
        <v>6</v>
      </c>
      <c r="J106" s="11">
        <v>6.5</v>
      </c>
      <c r="K106" s="11">
        <v>0.5</v>
      </c>
      <c r="L106" s="11">
        <v>0.2886751345948129</v>
      </c>
    </row>
    <row r="107" spans="1:12">
      <c r="A107" s="2" t="s">
        <v>1553</v>
      </c>
      <c r="B107" s="2" t="s">
        <v>1739</v>
      </c>
      <c r="C107" s="2" t="s">
        <v>1732</v>
      </c>
      <c r="D107" s="2"/>
      <c r="E107" s="12">
        <v>6.91</v>
      </c>
      <c r="F107" s="12">
        <v>5.845</v>
      </c>
      <c r="G107" s="12">
        <v>6.345</v>
      </c>
      <c r="H107" s="12">
        <v>6.367</v>
      </c>
      <c r="I107" s="12">
        <v>5.845</v>
      </c>
      <c r="J107" s="12">
        <v>6.91</v>
      </c>
      <c r="K107" s="12">
        <v>1.065</v>
      </c>
      <c r="L107" s="12">
        <v>0.533</v>
      </c>
    </row>
    <row r="108" spans="1:12">
      <c r="A108" s="2" t="s">
        <v>1553</v>
      </c>
      <c r="B108" s="2" t="s">
        <v>1739</v>
      </c>
      <c r="C108" s="2" t="s">
        <v>1733</v>
      </c>
      <c r="D108" s="2"/>
      <c r="E108" s="12">
        <v>5.98</v>
      </c>
      <c r="F108" s="12">
        <v>5.025</v>
      </c>
      <c r="G108" s="12">
        <v>5.48</v>
      </c>
      <c r="H108" s="12">
        <v>5.495</v>
      </c>
      <c r="I108" s="12">
        <v>5.025</v>
      </c>
      <c r="J108" s="12">
        <v>5.98</v>
      </c>
      <c r="K108" s="12">
        <v>0.955</v>
      </c>
      <c r="L108" s="12">
        <v>0.478</v>
      </c>
    </row>
    <row r="109" spans="1:12">
      <c r="A109" s="2" t="s">
        <v>1553</v>
      </c>
      <c r="B109" s="2" t="s">
        <v>1739</v>
      </c>
      <c r="C109" s="2" t="s">
        <v>1734</v>
      </c>
      <c r="D109" s="2"/>
      <c r="E109" s="12">
        <v>6.631</v>
      </c>
      <c r="F109" s="12">
        <v>5.599</v>
      </c>
      <c r="G109" s="12">
        <v>6.085</v>
      </c>
      <c r="H109" s="12">
        <v>6.105</v>
      </c>
      <c r="I109" s="12">
        <v>5.599</v>
      </c>
      <c r="J109" s="12">
        <v>6.631</v>
      </c>
      <c r="K109" s="12">
        <v>1.032</v>
      </c>
      <c r="L109" s="12">
        <v>0.516</v>
      </c>
    </row>
    <row r="111" spans="1:12">
      <c r="A111" s="3" t="s">
        <v>209</v>
      </c>
      <c r="B111" s="3" t="s">
        <v>1740</v>
      </c>
      <c r="C111" s="3" t="s">
        <v>1718</v>
      </c>
      <c r="D111" s="7">
        <v>0.24</v>
      </c>
      <c r="E111" s="8">
        <v>7.5</v>
      </c>
      <c r="F111" s="9">
        <v>6.5</v>
      </c>
      <c r="G111" s="8">
        <v>7</v>
      </c>
      <c r="H111" s="8">
        <v>7</v>
      </c>
      <c r="I111" s="11">
        <v>6.5</v>
      </c>
      <c r="J111" s="11">
        <v>7.5</v>
      </c>
      <c r="K111" s="11">
        <v>1</v>
      </c>
      <c r="L111" s="11">
        <v>0.5</v>
      </c>
    </row>
    <row r="112" spans="1:12">
      <c r="A112" s="3" t="s">
        <v>209</v>
      </c>
      <c r="B112" s="3" t="s">
        <v>1740</v>
      </c>
      <c r="C112" s="3" t="s">
        <v>1719</v>
      </c>
      <c r="D112" s="7">
        <v>0.18</v>
      </c>
      <c r="E112" s="9">
        <v>6</v>
      </c>
      <c r="F112" s="9">
        <v>5</v>
      </c>
      <c r="G112" s="9">
        <v>5.5</v>
      </c>
      <c r="H112" s="9">
        <v>5.5</v>
      </c>
      <c r="I112" s="11">
        <v>5</v>
      </c>
      <c r="J112" s="11">
        <v>6</v>
      </c>
      <c r="K112" s="11">
        <v>1</v>
      </c>
      <c r="L112" s="11">
        <v>0.5</v>
      </c>
    </row>
    <row r="113" spans="1:12">
      <c r="A113" s="3" t="s">
        <v>209</v>
      </c>
      <c r="B113" s="3" t="s">
        <v>1740</v>
      </c>
      <c r="C113" s="3" t="s">
        <v>1720</v>
      </c>
      <c r="D113" s="7">
        <v>0.15</v>
      </c>
      <c r="E113" s="9">
        <v>6.5</v>
      </c>
      <c r="F113" s="9">
        <v>5</v>
      </c>
      <c r="G113" s="9">
        <v>5.5</v>
      </c>
      <c r="H113" s="9">
        <v>5.666666666666667</v>
      </c>
      <c r="I113" s="11">
        <v>5</v>
      </c>
      <c r="J113" s="11">
        <v>6.5</v>
      </c>
      <c r="K113" s="11">
        <v>1.5</v>
      </c>
      <c r="L113" s="11">
        <v>0.7637626158259734</v>
      </c>
    </row>
    <row r="114" spans="1:12">
      <c r="A114" s="3" t="s">
        <v>209</v>
      </c>
      <c r="B114" s="3" t="s">
        <v>1740</v>
      </c>
      <c r="C114" s="3" t="s">
        <v>1721</v>
      </c>
      <c r="D114" s="7">
        <v>0.13</v>
      </c>
      <c r="E114" s="9">
        <v>6</v>
      </c>
      <c r="F114" s="9">
        <v>5</v>
      </c>
      <c r="G114" s="9">
        <v>5.5</v>
      </c>
      <c r="H114" s="9">
        <v>5.5</v>
      </c>
      <c r="I114" s="11">
        <v>5</v>
      </c>
      <c r="J114" s="11">
        <v>6</v>
      </c>
      <c r="K114" s="11">
        <v>1</v>
      </c>
      <c r="L114" s="11">
        <v>0.5</v>
      </c>
    </row>
    <row r="115" spans="1:12">
      <c r="A115" s="3" t="s">
        <v>209</v>
      </c>
      <c r="B115" s="3" t="s">
        <v>1740</v>
      </c>
      <c r="C115" s="3" t="s">
        <v>1722</v>
      </c>
      <c r="D115" s="7">
        <v>0.12</v>
      </c>
      <c r="E115" s="9">
        <v>6</v>
      </c>
      <c r="F115" s="9">
        <v>5</v>
      </c>
      <c r="G115" s="9">
        <v>5.5</v>
      </c>
      <c r="H115" s="9">
        <v>5.5</v>
      </c>
      <c r="I115" s="11">
        <v>5</v>
      </c>
      <c r="J115" s="11">
        <v>6</v>
      </c>
      <c r="K115" s="11">
        <v>1</v>
      </c>
      <c r="L115" s="11">
        <v>0.5</v>
      </c>
    </row>
    <row r="116" spans="1:12">
      <c r="A116" s="3" t="s">
        <v>209</v>
      </c>
      <c r="B116" s="3" t="s">
        <v>1740</v>
      </c>
      <c r="C116" s="3" t="s">
        <v>1723</v>
      </c>
      <c r="D116" s="7">
        <v>0.1</v>
      </c>
      <c r="E116" s="9">
        <v>6.5</v>
      </c>
      <c r="F116" s="9">
        <v>5.5</v>
      </c>
      <c r="G116" s="9">
        <v>6</v>
      </c>
      <c r="H116" s="9">
        <v>6</v>
      </c>
      <c r="I116" s="11">
        <v>5.5</v>
      </c>
      <c r="J116" s="11">
        <v>6.5</v>
      </c>
      <c r="K116" s="11">
        <v>1</v>
      </c>
      <c r="L116" s="11">
        <v>0.5</v>
      </c>
    </row>
    <row r="117" spans="1:12">
      <c r="A117" s="3" t="s">
        <v>209</v>
      </c>
      <c r="B117" s="3" t="s">
        <v>1740</v>
      </c>
      <c r="C117" s="3" t="s">
        <v>1724</v>
      </c>
      <c r="D117" s="7">
        <v>0.08</v>
      </c>
      <c r="E117" s="9">
        <v>5.5</v>
      </c>
      <c r="F117" s="9">
        <v>4.5</v>
      </c>
      <c r="G117" s="9">
        <v>5</v>
      </c>
      <c r="H117" s="9">
        <v>5</v>
      </c>
      <c r="I117" s="11">
        <v>4.5</v>
      </c>
      <c r="J117" s="11">
        <v>5.5</v>
      </c>
      <c r="K117" s="11">
        <v>1</v>
      </c>
      <c r="L117" s="11">
        <v>0.5</v>
      </c>
    </row>
    <row r="118" spans="1:12">
      <c r="A118" s="3" t="s">
        <v>209</v>
      </c>
      <c r="B118" s="3" t="s">
        <v>1740</v>
      </c>
      <c r="C118" s="3" t="s">
        <v>1725</v>
      </c>
      <c r="D118" s="7">
        <v>0.2</v>
      </c>
      <c r="E118" s="8">
        <v>7</v>
      </c>
      <c r="F118" s="9">
        <v>6</v>
      </c>
      <c r="G118" s="9">
        <v>6.5</v>
      </c>
      <c r="H118" s="9">
        <v>6.5</v>
      </c>
      <c r="I118" s="11">
        <v>6</v>
      </c>
      <c r="J118" s="11">
        <v>7</v>
      </c>
      <c r="K118" s="11">
        <v>1</v>
      </c>
      <c r="L118" s="11">
        <v>0.5</v>
      </c>
    </row>
    <row r="119" spans="1:12">
      <c r="A119" s="3" t="s">
        <v>209</v>
      </c>
      <c r="B119" s="3" t="s">
        <v>1740</v>
      </c>
      <c r="C119" s="3" t="s">
        <v>1726</v>
      </c>
      <c r="D119" s="7">
        <v>0.16</v>
      </c>
      <c r="E119" s="8">
        <v>7</v>
      </c>
      <c r="F119" s="9">
        <v>6</v>
      </c>
      <c r="G119" s="9">
        <v>6.5</v>
      </c>
      <c r="H119" s="9">
        <v>6.5</v>
      </c>
      <c r="I119" s="11">
        <v>6</v>
      </c>
      <c r="J119" s="11">
        <v>7</v>
      </c>
      <c r="K119" s="11">
        <v>1</v>
      </c>
      <c r="L119" s="11">
        <v>0.5</v>
      </c>
    </row>
    <row r="120" spans="1:12">
      <c r="A120" s="3" t="s">
        <v>209</v>
      </c>
      <c r="B120" s="3" t="s">
        <v>1740</v>
      </c>
      <c r="C120" s="3" t="s">
        <v>1727</v>
      </c>
      <c r="D120" s="7">
        <v>0.15</v>
      </c>
      <c r="E120" s="8">
        <v>7.5</v>
      </c>
      <c r="F120" s="8">
        <v>7</v>
      </c>
      <c r="G120" s="8">
        <v>7</v>
      </c>
      <c r="H120" s="8">
        <v>7.166666666666667</v>
      </c>
      <c r="I120" s="11">
        <v>7</v>
      </c>
      <c r="J120" s="11">
        <v>7.5</v>
      </c>
      <c r="K120" s="11">
        <v>0.5</v>
      </c>
      <c r="L120" s="11">
        <v>0.2886751345948129</v>
      </c>
    </row>
    <row r="121" spans="1:12">
      <c r="A121" s="3" t="s">
        <v>209</v>
      </c>
      <c r="B121" s="3" t="s">
        <v>1740</v>
      </c>
      <c r="C121" s="3" t="s">
        <v>1728</v>
      </c>
      <c r="D121" s="7">
        <v>0.15</v>
      </c>
      <c r="E121" s="8">
        <v>8</v>
      </c>
      <c r="F121" s="8">
        <v>7</v>
      </c>
      <c r="G121" s="8">
        <v>7.5</v>
      </c>
      <c r="H121" s="8">
        <v>7.5</v>
      </c>
      <c r="I121" s="11">
        <v>7</v>
      </c>
      <c r="J121" s="11">
        <v>8</v>
      </c>
      <c r="K121" s="11">
        <v>1</v>
      </c>
      <c r="L121" s="11">
        <v>0.5</v>
      </c>
    </row>
    <row r="122" spans="1:12">
      <c r="A122" s="3" t="s">
        <v>209</v>
      </c>
      <c r="B122" s="3" t="s">
        <v>1740</v>
      </c>
      <c r="C122" s="3" t="s">
        <v>1729</v>
      </c>
      <c r="D122" s="7">
        <v>0.13</v>
      </c>
      <c r="E122" s="9">
        <v>5</v>
      </c>
      <c r="F122" s="10">
        <v>4</v>
      </c>
      <c r="G122" s="9">
        <v>4.5</v>
      </c>
      <c r="H122" s="9">
        <v>4.5</v>
      </c>
      <c r="I122" s="11">
        <v>4</v>
      </c>
      <c r="J122" s="11">
        <v>5</v>
      </c>
      <c r="K122" s="11">
        <v>1</v>
      </c>
      <c r="L122" s="11">
        <v>0.5</v>
      </c>
    </row>
    <row r="123" spans="1:12">
      <c r="A123" s="3" t="s">
        <v>209</v>
      </c>
      <c r="B123" s="3" t="s">
        <v>1740</v>
      </c>
      <c r="C123" s="3" t="s">
        <v>1730</v>
      </c>
      <c r="D123" s="7">
        <v>0.12</v>
      </c>
      <c r="E123" s="8">
        <v>7</v>
      </c>
      <c r="F123" s="9">
        <v>6</v>
      </c>
      <c r="G123" s="9">
        <v>6.5</v>
      </c>
      <c r="H123" s="9">
        <v>6.5</v>
      </c>
      <c r="I123" s="11">
        <v>6</v>
      </c>
      <c r="J123" s="11">
        <v>7</v>
      </c>
      <c r="K123" s="11">
        <v>1</v>
      </c>
      <c r="L123" s="11">
        <v>0.5</v>
      </c>
    </row>
    <row r="124" spans="1:12">
      <c r="A124" s="3" t="s">
        <v>209</v>
      </c>
      <c r="B124" s="3" t="s">
        <v>1740</v>
      </c>
      <c r="C124" s="3" t="s">
        <v>1731</v>
      </c>
      <c r="D124" s="7">
        <v>0.09</v>
      </c>
      <c r="E124" s="8">
        <v>7.5</v>
      </c>
      <c r="F124" s="8">
        <v>7</v>
      </c>
      <c r="G124" s="8">
        <v>7</v>
      </c>
      <c r="H124" s="8">
        <v>7.166666666666667</v>
      </c>
      <c r="I124" s="11">
        <v>7</v>
      </c>
      <c r="J124" s="11">
        <v>7.5</v>
      </c>
      <c r="K124" s="11">
        <v>0.5</v>
      </c>
      <c r="L124" s="11">
        <v>0.2886751345948129</v>
      </c>
    </row>
    <row r="125" spans="1:12">
      <c r="A125" s="2" t="s">
        <v>209</v>
      </c>
      <c r="B125" s="2" t="s">
        <v>1740</v>
      </c>
      <c r="C125" s="2" t="s">
        <v>1732</v>
      </c>
      <c r="D125" s="2"/>
      <c r="E125" s="12">
        <v>6.445</v>
      </c>
      <c r="F125" s="12">
        <v>5.37</v>
      </c>
      <c r="G125" s="12">
        <v>5.87</v>
      </c>
      <c r="H125" s="12">
        <v>5.895</v>
      </c>
      <c r="I125" s="12">
        <v>5.37</v>
      </c>
      <c r="J125" s="12">
        <v>6.445</v>
      </c>
      <c r="K125" s="12">
        <v>1.075</v>
      </c>
      <c r="L125" s="12">
        <v>0.538</v>
      </c>
    </row>
    <row r="126" spans="1:12">
      <c r="A126" s="2" t="s">
        <v>209</v>
      </c>
      <c r="B126" s="2" t="s">
        <v>1740</v>
      </c>
      <c r="C126" s="2" t="s">
        <v>1733</v>
      </c>
      <c r="D126" s="2"/>
      <c r="E126" s="12">
        <v>7.01</v>
      </c>
      <c r="F126" s="12">
        <v>6.13</v>
      </c>
      <c r="G126" s="12">
        <v>6.51</v>
      </c>
      <c r="H126" s="12">
        <v>6.55</v>
      </c>
      <c r="I126" s="12">
        <v>6.13</v>
      </c>
      <c r="J126" s="12">
        <v>7.01</v>
      </c>
      <c r="K126" s="12">
        <v>0.88</v>
      </c>
      <c r="L126" s="12">
        <v>0.441</v>
      </c>
    </row>
    <row r="127" spans="1:12">
      <c r="A127" s="2" t="s">
        <v>209</v>
      </c>
      <c r="B127" s="2" t="s">
        <v>1740</v>
      </c>
      <c r="C127" s="2" t="s">
        <v>1734</v>
      </c>
      <c r="D127" s="2"/>
      <c r="E127" s="12">
        <v>6.614</v>
      </c>
      <c r="F127" s="12">
        <v>5.598</v>
      </c>
      <c r="G127" s="12">
        <v>6.062</v>
      </c>
      <c r="H127" s="12">
        <v>6.091</v>
      </c>
      <c r="I127" s="12">
        <v>5.598</v>
      </c>
      <c r="J127" s="12">
        <v>6.614</v>
      </c>
      <c r="K127" s="12">
        <v>1.017</v>
      </c>
      <c r="L127" s="12">
        <v>0.509</v>
      </c>
    </row>
    <row r="129" spans="1:12">
      <c r="A129" s="3" t="s">
        <v>1464</v>
      </c>
      <c r="B129" s="3" t="s">
        <v>1465</v>
      </c>
      <c r="C129" s="3" t="s">
        <v>1718</v>
      </c>
      <c r="D129" s="7">
        <v>0.24</v>
      </c>
      <c r="E129" s="8">
        <v>7</v>
      </c>
      <c r="F129" s="9">
        <v>6</v>
      </c>
      <c r="G129" s="9">
        <v>6.5</v>
      </c>
      <c r="H129" s="9">
        <v>6.5</v>
      </c>
      <c r="I129" s="11">
        <v>6</v>
      </c>
      <c r="J129" s="11">
        <v>7</v>
      </c>
      <c r="K129" s="11">
        <v>1</v>
      </c>
      <c r="L129" s="11">
        <v>0.5</v>
      </c>
    </row>
    <row r="130" spans="1:12">
      <c r="A130" s="3" t="s">
        <v>1464</v>
      </c>
      <c r="B130" s="3" t="s">
        <v>1465</v>
      </c>
      <c r="C130" s="3" t="s">
        <v>1719</v>
      </c>
      <c r="D130" s="7">
        <v>0.18</v>
      </c>
      <c r="E130" s="9">
        <v>5.5</v>
      </c>
      <c r="F130" s="9">
        <v>4.5</v>
      </c>
      <c r="G130" s="9">
        <v>5</v>
      </c>
      <c r="H130" s="9">
        <v>5</v>
      </c>
      <c r="I130" s="11">
        <v>4.5</v>
      </c>
      <c r="J130" s="11">
        <v>5.5</v>
      </c>
      <c r="K130" s="11">
        <v>1</v>
      </c>
      <c r="L130" s="11">
        <v>0.5</v>
      </c>
    </row>
    <row r="131" spans="1:12">
      <c r="A131" s="3" t="s">
        <v>1464</v>
      </c>
      <c r="B131" s="3" t="s">
        <v>1465</v>
      </c>
      <c r="C131" s="3" t="s">
        <v>1720</v>
      </c>
      <c r="D131" s="7">
        <v>0.15</v>
      </c>
      <c r="E131" s="9">
        <v>6</v>
      </c>
      <c r="F131" s="9">
        <v>4.5</v>
      </c>
      <c r="G131" s="9">
        <v>5</v>
      </c>
      <c r="H131" s="9">
        <v>5.166666666666667</v>
      </c>
      <c r="I131" s="11">
        <v>4.5</v>
      </c>
      <c r="J131" s="11">
        <v>6</v>
      </c>
      <c r="K131" s="11">
        <v>1.5</v>
      </c>
      <c r="L131" s="11">
        <v>0.7637626158259734</v>
      </c>
    </row>
    <row r="132" spans="1:12">
      <c r="A132" s="3" t="s">
        <v>1464</v>
      </c>
      <c r="B132" s="3" t="s">
        <v>1465</v>
      </c>
      <c r="C132" s="3" t="s">
        <v>1721</v>
      </c>
      <c r="D132" s="7">
        <v>0.13</v>
      </c>
      <c r="E132" s="9">
        <v>6.5</v>
      </c>
      <c r="F132" s="9">
        <v>5.5</v>
      </c>
      <c r="G132" s="9">
        <v>6</v>
      </c>
      <c r="H132" s="9">
        <v>6</v>
      </c>
      <c r="I132" s="11">
        <v>5.5</v>
      </c>
      <c r="J132" s="11">
        <v>6.5</v>
      </c>
      <c r="K132" s="11">
        <v>1</v>
      </c>
      <c r="L132" s="11">
        <v>0.5</v>
      </c>
    </row>
    <row r="133" spans="1:12">
      <c r="A133" s="3" t="s">
        <v>1464</v>
      </c>
      <c r="B133" s="3" t="s">
        <v>1465</v>
      </c>
      <c r="C133" s="3" t="s">
        <v>1722</v>
      </c>
      <c r="D133" s="7">
        <v>0.12</v>
      </c>
      <c r="E133" s="9">
        <v>6.5</v>
      </c>
      <c r="F133" s="9">
        <v>5.5</v>
      </c>
      <c r="G133" s="9">
        <v>6</v>
      </c>
      <c r="H133" s="9">
        <v>6</v>
      </c>
      <c r="I133" s="11">
        <v>5.5</v>
      </c>
      <c r="J133" s="11">
        <v>6.5</v>
      </c>
      <c r="K133" s="11">
        <v>1</v>
      </c>
      <c r="L133" s="11">
        <v>0.5</v>
      </c>
    </row>
    <row r="134" spans="1:12">
      <c r="A134" s="3" t="s">
        <v>1464</v>
      </c>
      <c r="B134" s="3" t="s">
        <v>1465</v>
      </c>
      <c r="C134" s="3" t="s">
        <v>1723</v>
      </c>
      <c r="D134" s="7">
        <v>0.1</v>
      </c>
      <c r="E134" s="9">
        <v>6.5</v>
      </c>
      <c r="F134" s="9">
        <v>5</v>
      </c>
      <c r="G134" s="9">
        <v>5.5</v>
      </c>
      <c r="H134" s="9">
        <v>5.666666666666667</v>
      </c>
      <c r="I134" s="11">
        <v>5</v>
      </c>
      <c r="J134" s="11">
        <v>6.5</v>
      </c>
      <c r="K134" s="11">
        <v>1.5</v>
      </c>
      <c r="L134" s="11">
        <v>0.7637626158259734</v>
      </c>
    </row>
    <row r="135" spans="1:12">
      <c r="A135" s="3" t="s">
        <v>1464</v>
      </c>
      <c r="B135" s="3" t="s">
        <v>1465</v>
      </c>
      <c r="C135" s="3" t="s">
        <v>1724</v>
      </c>
      <c r="D135" s="7">
        <v>0.08</v>
      </c>
      <c r="E135" s="10">
        <v>4</v>
      </c>
      <c r="F135" s="10">
        <v>3</v>
      </c>
      <c r="G135" s="10">
        <v>3.5</v>
      </c>
      <c r="H135" s="10">
        <v>3.5</v>
      </c>
      <c r="I135" s="11">
        <v>3</v>
      </c>
      <c r="J135" s="11">
        <v>4</v>
      </c>
      <c r="K135" s="11">
        <v>1</v>
      </c>
      <c r="L135" s="11">
        <v>0.5</v>
      </c>
    </row>
    <row r="136" spans="1:12">
      <c r="A136" s="3" t="s">
        <v>1464</v>
      </c>
      <c r="B136" s="3" t="s">
        <v>1465</v>
      </c>
      <c r="C136" s="3" t="s">
        <v>1725</v>
      </c>
      <c r="D136" s="7">
        <v>0.2</v>
      </c>
      <c r="E136" s="9">
        <v>6.5</v>
      </c>
      <c r="F136" s="9">
        <v>5.5</v>
      </c>
      <c r="G136" s="9">
        <v>6</v>
      </c>
      <c r="H136" s="9">
        <v>6</v>
      </c>
      <c r="I136" s="11">
        <v>5.5</v>
      </c>
      <c r="J136" s="11">
        <v>6.5</v>
      </c>
      <c r="K136" s="11">
        <v>1</v>
      </c>
      <c r="L136" s="11">
        <v>0.5</v>
      </c>
    </row>
    <row r="137" spans="1:12">
      <c r="A137" s="3" t="s">
        <v>1464</v>
      </c>
      <c r="B137" s="3" t="s">
        <v>1465</v>
      </c>
      <c r="C137" s="3" t="s">
        <v>1726</v>
      </c>
      <c r="D137" s="7">
        <v>0.16</v>
      </c>
      <c r="E137" s="8">
        <v>8</v>
      </c>
      <c r="F137" s="8">
        <v>7</v>
      </c>
      <c r="G137" s="8">
        <v>7.5</v>
      </c>
      <c r="H137" s="8">
        <v>7.5</v>
      </c>
      <c r="I137" s="11">
        <v>7</v>
      </c>
      <c r="J137" s="11">
        <v>8</v>
      </c>
      <c r="K137" s="11">
        <v>1</v>
      </c>
      <c r="L137" s="11">
        <v>0.5</v>
      </c>
    </row>
    <row r="138" spans="1:12">
      <c r="A138" s="3" t="s">
        <v>1464</v>
      </c>
      <c r="B138" s="3" t="s">
        <v>1465</v>
      </c>
      <c r="C138" s="3" t="s">
        <v>1727</v>
      </c>
      <c r="D138" s="7">
        <v>0.15</v>
      </c>
      <c r="E138" s="8">
        <v>9</v>
      </c>
      <c r="F138" s="8">
        <v>8.5</v>
      </c>
      <c r="G138" s="8">
        <v>8.5</v>
      </c>
      <c r="H138" s="8">
        <v>8.666666666666666</v>
      </c>
      <c r="I138" s="11">
        <v>8.5</v>
      </c>
      <c r="J138" s="11">
        <v>9</v>
      </c>
      <c r="K138" s="11">
        <v>0.5</v>
      </c>
      <c r="L138" s="11">
        <v>0.2886751345948129</v>
      </c>
    </row>
    <row r="139" spans="1:12">
      <c r="A139" s="3" t="s">
        <v>1464</v>
      </c>
      <c r="B139" s="3" t="s">
        <v>1465</v>
      </c>
      <c r="C139" s="3" t="s">
        <v>1728</v>
      </c>
      <c r="D139" s="7">
        <v>0.15</v>
      </c>
      <c r="E139" s="8">
        <v>8.5</v>
      </c>
      <c r="F139" s="8">
        <v>7.5</v>
      </c>
      <c r="G139" s="8">
        <v>8</v>
      </c>
      <c r="H139" s="8">
        <v>8</v>
      </c>
      <c r="I139" s="11">
        <v>7.5</v>
      </c>
      <c r="J139" s="11">
        <v>8.5</v>
      </c>
      <c r="K139" s="11">
        <v>1</v>
      </c>
      <c r="L139" s="11">
        <v>0.5</v>
      </c>
    </row>
    <row r="140" spans="1:12">
      <c r="A140" s="3" t="s">
        <v>1464</v>
      </c>
      <c r="B140" s="3" t="s">
        <v>1465</v>
      </c>
      <c r="C140" s="3" t="s">
        <v>1729</v>
      </c>
      <c r="D140" s="7">
        <v>0.13</v>
      </c>
      <c r="E140" s="9">
        <v>5</v>
      </c>
      <c r="F140" s="10">
        <v>4</v>
      </c>
      <c r="G140" s="9">
        <v>4.5</v>
      </c>
      <c r="H140" s="9">
        <v>4.5</v>
      </c>
      <c r="I140" s="11">
        <v>4</v>
      </c>
      <c r="J140" s="11">
        <v>5</v>
      </c>
      <c r="K140" s="11">
        <v>1</v>
      </c>
      <c r="L140" s="11">
        <v>0.5</v>
      </c>
    </row>
    <row r="141" spans="1:12">
      <c r="A141" s="3" t="s">
        <v>1464</v>
      </c>
      <c r="B141" s="3" t="s">
        <v>1465</v>
      </c>
      <c r="C141" s="3" t="s">
        <v>1730</v>
      </c>
      <c r="D141" s="7">
        <v>0.12</v>
      </c>
      <c r="E141" s="8">
        <v>7</v>
      </c>
      <c r="F141" s="9">
        <v>6</v>
      </c>
      <c r="G141" s="9">
        <v>6.5</v>
      </c>
      <c r="H141" s="9">
        <v>6.5</v>
      </c>
      <c r="I141" s="11">
        <v>6</v>
      </c>
      <c r="J141" s="11">
        <v>7</v>
      </c>
      <c r="K141" s="11">
        <v>1</v>
      </c>
      <c r="L141" s="11">
        <v>0.5</v>
      </c>
    </row>
    <row r="142" spans="1:12">
      <c r="A142" s="3" t="s">
        <v>1464</v>
      </c>
      <c r="B142" s="3" t="s">
        <v>1465</v>
      </c>
      <c r="C142" s="3" t="s">
        <v>1731</v>
      </c>
      <c r="D142" s="7">
        <v>0.09</v>
      </c>
      <c r="E142" s="8">
        <v>8.5</v>
      </c>
      <c r="F142" s="8">
        <v>8</v>
      </c>
      <c r="G142" s="8">
        <v>8.5</v>
      </c>
      <c r="H142" s="8">
        <v>8.333333333333334</v>
      </c>
      <c r="I142" s="11">
        <v>8</v>
      </c>
      <c r="J142" s="11">
        <v>8.5</v>
      </c>
      <c r="K142" s="11">
        <v>0.5</v>
      </c>
      <c r="L142" s="11">
        <v>0.2886751345948129</v>
      </c>
    </row>
    <row r="143" spans="1:12">
      <c r="A143" s="2" t="s">
        <v>1464</v>
      </c>
      <c r="B143" s="2" t="s">
        <v>1465</v>
      </c>
      <c r="C143" s="2" t="s">
        <v>1732</v>
      </c>
      <c r="D143" s="2"/>
      <c r="E143" s="12">
        <v>6.165</v>
      </c>
      <c r="F143" s="12">
        <v>5.04</v>
      </c>
      <c r="G143" s="12">
        <v>5.54</v>
      </c>
      <c r="H143" s="12">
        <v>5.582</v>
      </c>
      <c r="I143" s="12">
        <v>5.04</v>
      </c>
      <c r="J143" s="12">
        <v>6.165</v>
      </c>
      <c r="K143" s="12">
        <v>1.125</v>
      </c>
      <c r="L143" s="12">
        <v>0.5639999999999999</v>
      </c>
    </row>
    <row r="144" spans="1:12">
      <c r="A144" s="2" t="s">
        <v>1464</v>
      </c>
      <c r="B144" s="2" t="s">
        <v>1465</v>
      </c>
      <c r="C144" s="2" t="s">
        <v>1733</v>
      </c>
      <c r="D144" s="2"/>
      <c r="E144" s="12">
        <v>7.46</v>
      </c>
      <c r="F144" s="12">
        <v>6.58</v>
      </c>
      <c r="G144" s="12">
        <v>7.005</v>
      </c>
      <c r="H144" s="12">
        <v>7.015</v>
      </c>
      <c r="I144" s="12">
        <v>6.58</v>
      </c>
      <c r="J144" s="12">
        <v>7.46</v>
      </c>
      <c r="K144" s="12">
        <v>0.88</v>
      </c>
      <c r="L144" s="12">
        <v>0.44</v>
      </c>
    </row>
    <row r="145" spans="1:12">
      <c r="A145" s="2" t="s">
        <v>1464</v>
      </c>
      <c r="B145" s="2" t="s">
        <v>1465</v>
      </c>
      <c r="C145" s="2" t="s">
        <v>1734</v>
      </c>
      <c r="D145" s="2"/>
      <c r="E145" s="12">
        <v>6.553</v>
      </c>
      <c r="F145" s="12">
        <v>5.502</v>
      </c>
      <c r="G145" s="12">
        <v>5.979</v>
      </c>
      <c r="H145" s="12">
        <v>6.012</v>
      </c>
      <c r="I145" s="12">
        <v>5.502</v>
      </c>
      <c r="J145" s="12">
        <v>6.553</v>
      </c>
      <c r="K145" s="12">
        <v>1.051</v>
      </c>
      <c r="L145" s="12">
        <v>0.526</v>
      </c>
    </row>
    <row r="147" spans="1:12">
      <c r="A147" s="3" t="s">
        <v>91</v>
      </c>
      <c r="B147" s="3" t="s">
        <v>1741</v>
      </c>
      <c r="C147" s="3" t="s">
        <v>1718</v>
      </c>
      <c r="D147" s="7">
        <v>0.24</v>
      </c>
      <c r="E147" s="8">
        <v>7</v>
      </c>
      <c r="F147" s="9">
        <v>5.5</v>
      </c>
      <c r="G147" s="9">
        <v>6</v>
      </c>
      <c r="H147" s="9">
        <v>6.166666666666667</v>
      </c>
      <c r="I147" s="11">
        <v>5.5</v>
      </c>
      <c r="J147" s="11">
        <v>7</v>
      </c>
      <c r="K147" s="11">
        <v>1.5</v>
      </c>
      <c r="L147" s="11">
        <v>0.7637626158259734</v>
      </c>
    </row>
    <row r="148" spans="1:12">
      <c r="A148" s="3" t="s">
        <v>91</v>
      </c>
      <c r="B148" s="3" t="s">
        <v>1741</v>
      </c>
      <c r="C148" s="3" t="s">
        <v>1719</v>
      </c>
      <c r="D148" s="7">
        <v>0.18</v>
      </c>
      <c r="E148" s="9">
        <v>4.5</v>
      </c>
      <c r="F148" s="10">
        <v>3.5</v>
      </c>
      <c r="G148" s="10">
        <v>4</v>
      </c>
      <c r="H148" s="10">
        <v>4</v>
      </c>
      <c r="I148" s="11">
        <v>3.5</v>
      </c>
      <c r="J148" s="11">
        <v>4.5</v>
      </c>
      <c r="K148" s="11">
        <v>1</v>
      </c>
      <c r="L148" s="11">
        <v>0.5</v>
      </c>
    </row>
    <row r="149" spans="1:12">
      <c r="A149" s="3" t="s">
        <v>91</v>
      </c>
      <c r="B149" s="3" t="s">
        <v>1741</v>
      </c>
      <c r="C149" s="3" t="s">
        <v>1720</v>
      </c>
      <c r="D149" s="7">
        <v>0.15</v>
      </c>
      <c r="E149" s="8">
        <v>7.5</v>
      </c>
      <c r="F149" s="9">
        <v>6</v>
      </c>
      <c r="G149" s="9">
        <v>6.5</v>
      </c>
      <c r="H149" s="9">
        <v>6.666666666666667</v>
      </c>
      <c r="I149" s="11">
        <v>6</v>
      </c>
      <c r="J149" s="11">
        <v>7.5</v>
      </c>
      <c r="K149" s="11">
        <v>1.5</v>
      </c>
      <c r="L149" s="11">
        <v>0.7637626158259734</v>
      </c>
    </row>
    <row r="150" spans="1:12">
      <c r="A150" s="3" t="s">
        <v>91</v>
      </c>
      <c r="B150" s="3" t="s">
        <v>1741</v>
      </c>
      <c r="C150" s="3" t="s">
        <v>1721</v>
      </c>
      <c r="D150" s="7">
        <v>0.13</v>
      </c>
      <c r="E150" s="9">
        <v>6.5</v>
      </c>
      <c r="F150" s="9">
        <v>5.5</v>
      </c>
      <c r="G150" s="9">
        <v>6</v>
      </c>
      <c r="H150" s="9">
        <v>6</v>
      </c>
      <c r="I150" s="11">
        <v>5.5</v>
      </c>
      <c r="J150" s="11">
        <v>6.5</v>
      </c>
      <c r="K150" s="11">
        <v>1</v>
      </c>
      <c r="L150" s="11">
        <v>0.5</v>
      </c>
    </row>
    <row r="151" spans="1:12">
      <c r="A151" s="3" t="s">
        <v>91</v>
      </c>
      <c r="B151" s="3" t="s">
        <v>1741</v>
      </c>
      <c r="C151" s="3" t="s">
        <v>1722</v>
      </c>
      <c r="D151" s="7">
        <v>0.12</v>
      </c>
      <c r="E151" s="8">
        <v>7</v>
      </c>
      <c r="F151" s="9">
        <v>6</v>
      </c>
      <c r="G151" s="9">
        <v>6.5</v>
      </c>
      <c r="H151" s="9">
        <v>6.5</v>
      </c>
      <c r="I151" s="11">
        <v>6</v>
      </c>
      <c r="J151" s="11">
        <v>7</v>
      </c>
      <c r="K151" s="11">
        <v>1</v>
      </c>
      <c r="L151" s="11">
        <v>0.5</v>
      </c>
    </row>
    <row r="152" spans="1:12">
      <c r="A152" s="3" t="s">
        <v>91</v>
      </c>
      <c r="B152" s="3" t="s">
        <v>1741</v>
      </c>
      <c r="C152" s="3" t="s">
        <v>1723</v>
      </c>
      <c r="D152" s="7">
        <v>0.1</v>
      </c>
      <c r="E152" s="9">
        <v>5.5</v>
      </c>
      <c r="F152" s="10">
        <v>4</v>
      </c>
      <c r="G152" s="9">
        <v>4.5</v>
      </c>
      <c r="H152" s="9">
        <v>4.666666666666667</v>
      </c>
      <c r="I152" s="11">
        <v>4</v>
      </c>
      <c r="J152" s="11">
        <v>5.5</v>
      </c>
      <c r="K152" s="11">
        <v>1.5</v>
      </c>
      <c r="L152" s="11">
        <v>0.7637626158259734</v>
      </c>
    </row>
    <row r="153" spans="1:12">
      <c r="A153" s="3" t="s">
        <v>91</v>
      </c>
      <c r="B153" s="3" t="s">
        <v>1741</v>
      </c>
      <c r="C153" s="3" t="s">
        <v>1724</v>
      </c>
      <c r="D153" s="7">
        <v>0.08</v>
      </c>
      <c r="E153" s="9">
        <v>4.5</v>
      </c>
      <c r="F153" s="10">
        <v>3.5</v>
      </c>
      <c r="G153" s="10">
        <v>4</v>
      </c>
      <c r="H153" s="10">
        <v>4</v>
      </c>
      <c r="I153" s="11">
        <v>3.5</v>
      </c>
      <c r="J153" s="11">
        <v>4.5</v>
      </c>
      <c r="K153" s="11">
        <v>1</v>
      </c>
      <c r="L153" s="11">
        <v>0.5</v>
      </c>
    </row>
    <row r="154" spans="1:12">
      <c r="A154" s="3" t="s">
        <v>91</v>
      </c>
      <c r="B154" s="3" t="s">
        <v>1741</v>
      </c>
      <c r="C154" s="3" t="s">
        <v>1725</v>
      </c>
      <c r="D154" s="7">
        <v>0.2</v>
      </c>
      <c r="E154" s="9">
        <v>5.5</v>
      </c>
      <c r="F154" s="10">
        <v>4</v>
      </c>
      <c r="G154" s="9">
        <v>4.5</v>
      </c>
      <c r="H154" s="9">
        <v>4.666666666666667</v>
      </c>
      <c r="I154" s="11">
        <v>4</v>
      </c>
      <c r="J154" s="11">
        <v>5.5</v>
      </c>
      <c r="K154" s="11">
        <v>1.5</v>
      </c>
      <c r="L154" s="11">
        <v>0.7637626158259734</v>
      </c>
    </row>
    <row r="155" spans="1:12">
      <c r="A155" s="3" t="s">
        <v>91</v>
      </c>
      <c r="B155" s="3" t="s">
        <v>1741</v>
      </c>
      <c r="C155" s="3" t="s">
        <v>1726</v>
      </c>
      <c r="D155" s="7">
        <v>0.16</v>
      </c>
      <c r="E155" s="8">
        <v>8.5</v>
      </c>
      <c r="F155" s="8">
        <v>7.5</v>
      </c>
      <c r="G155" s="8">
        <v>8</v>
      </c>
      <c r="H155" s="8">
        <v>8</v>
      </c>
      <c r="I155" s="11">
        <v>7.5</v>
      </c>
      <c r="J155" s="11">
        <v>8.5</v>
      </c>
      <c r="K155" s="11">
        <v>1</v>
      </c>
      <c r="L155" s="11">
        <v>0.5</v>
      </c>
    </row>
    <row r="156" spans="1:12">
      <c r="A156" s="3" t="s">
        <v>91</v>
      </c>
      <c r="B156" s="3" t="s">
        <v>1741</v>
      </c>
      <c r="C156" s="3" t="s">
        <v>1727</v>
      </c>
      <c r="D156" s="7">
        <v>0.15</v>
      </c>
      <c r="E156" s="8">
        <v>9</v>
      </c>
      <c r="F156" s="8">
        <v>8.5</v>
      </c>
      <c r="G156" s="8">
        <v>8.5</v>
      </c>
      <c r="H156" s="8">
        <v>8.666666666666666</v>
      </c>
      <c r="I156" s="11">
        <v>8.5</v>
      </c>
      <c r="J156" s="11">
        <v>9</v>
      </c>
      <c r="K156" s="11">
        <v>0.5</v>
      </c>
      <c r="L156" s="11">
        <v>0.2886751345948129</v>
      </c>
    </row>
    <row r="157" spans="1:12">
      <c r="A157" s="3" t="s">
        <v>91</v>
      </c>
      <c r="B157" s="3" t="s">
        <v>1741</v>
      </c>
      <c r="C157" s="3" t="s">
        <v>1728</v>
      </c>
      <c r="D157" s="7">
        <v>0.15</v>
      </c>
      <c r="E157" s="8">
        <v>8.5</v>
      </c>
      <c r="F157" s="8">
        <v>7.5</v>
      </c>
      <c r="G157" s="8">
        <v>8</v>
      </c>
      <c r="H157" s="8">
        <v>8</v>
      </c>
      <c r="I157" s="11">
        <v>7.5</v>
      </c>
      <c r="J157" s="11">
        <v>8.5</v>
      </c>
      <c r="K157" s="11">
        <v>1</v>
      </c>
      <c r="L157" s="11">
        <v>0.5</v>
      </c>
    </row>
    <row r="158" spans="1:12">
      <c r="A158" s="3" t="s">
        <v>91</v>
      </c>
      <c r="B158" s="3" t="s">
        <v>1741</v>
      </c>
      <c r="C158" s="3" t="s">
        <v>1729</v>
      </c>
      <c r="D158" s="7">
        <v>0.13</v>
      </c>
      <c r="E158" s="9">
        <v>5</v>
      </c>
      <c r="F158" s="10">
        <v>4</v>
      </c>
      <c r="G158" s="9">
        <v>4.5</v>
      </c>
      <c r="H158" s="9">
        <v>4.5</v>
      </c>
      <c r="I158" s="11">
        <v>4</v>
      </c>
      <c r="J158" s="11">
        <v>5</v>
      </c>
      <c r="K158" s="11">
        <v>1</v>
      </c>
      <c r="L158" s="11">
        <v>0.5</v>
      </c>
    </row>
    <row r="159" spans="1:12">
      <c r="A159" s="3" t="s">
        <v>91</v>
      </c>
      <c r="B159" s="3" t="s">
        <v>1741</v>
      </c>
      <c r="C159" s="3" t="s">
        <v>1730</v>
      </c>
      <c r="D159" s="7">
        <v>0.12</v>
      </c>
      <c r="E159" s="8">
        <v>7</v>
      </c>
      <c r="F159" s="9">
        <v>6</v>
      </c>
      <c r="G159" s="9">
        <v>6.5</v>
      </c>
      <c r="H159" s="9">
        <v>6.5</v>
      </c>
      <c r="I159" s="11">
        <v>6</v>
      </c>
      <c r="J159" s="11">
        <v>7</v>
      </c>
      <c r="K159" s="11">
        <v>1</v>
      </c>
      <c r="L159" s="11">
        <v>0.5</v>
      </c>
    </row>
    <row r="160" spans="1:12">
      <c r="A160" s="3" t="s">
        <v>91</v>
      </c>
      <c r="B160" s="3" t="s">
        <v>1741</v>
      </c>
      <c r="C160" s="3" t="s">
        <v>1731</v>
      </c>
      <c r="D160" s="7">
        <v>0.09</v>
      </c>
      <c r="E160" s="8">
        <v>8.5</v>
      </c>
      <c r="F160" s="8">
        <v>8</v>
      </c>
      <c r="G160" s="8">
        <v>8.5</v>
      </c>
      <c r="H160" s="8">
        <v>8.333333333333334</v>
      </c>
      <c r="I160" s="11">
        <v>8</v>
      </c>
      <c r="J160" s="11">
        <v>8.5</v>
      </c>
      <c r="K160" s="11">
        <v>0.5</v>
      </c>
      <c r="L160" s="11">
        <v>0.2886751345948129</v>
      </c>
    </row>
    <row r="161" spans="1:12">
      <c r="A161" s="2" t="s">
        <v>91</v>
      </c>
      <c r="B161" s="2" t="s">
        <v>1741</v>
      </c>
      <c r="C161" s="2" t="s">
        <v>1732</v>
      </c>
      <c r="D161" s="2"/>
      <c r="E161" s="12">
        <v>6.21</v>
      </c>
      <c r="F161" s="12">
        <v>4.965</v>
      </c>
      <c r="G161" s="12">
        <v>5.465</v>
      </c>
      <c r="H161" s="12">
        <v>5.547</v>
      </c>
      <c r="I161" s="12">
        <v>4.965</v>
      </c>
      <c r="J161" s="12">
        <v>6.21</v>
      </c>
      <c r="K161" s="12">
        <v>1.245</v>
      </c>
      <c r="L161" s="12">
        <v>0.627</v>
      </c>
    </row>
    <row r="162" spans="1:12">
      <c r="A162" s="2" t="s">
        <v>91</v>
      </c>
      <c r="B162" s="2" t="s">
        <v>1741</v>
      </c>
      <c r="C162" s="2" t="s">
        <v>1733</v>
      </c>
      <c r="D162" s="2"/>
      <c r="E162" s="12">
        <v>7.34</v>
      </c>
      <c r="F162" s="12">
        <v>6.36</v>
      </c>
      <c r="G162" s="12">
        <v>6.785</v>
      </c>
      <c r="H162" s="12">
        <v>6.828</v>
      </c>
      <c r="I162" s="12">
        <v>6.36</v>
      </c>
      <c r="J162" s="12">
        <v>7.34</v>
      </c>
      <c r="K162" s="12">
        <v>0.98</v>
      </c>
      <c r="L162" s="12">
        <v>0.491</v>
      </c>
    </row>
    <row r="163" spans="1:12">
      <c r="A163" s="2" t="s">
        <v>91</v>
      </c>
      <c r="B163" s="2" t="s">
        <v>1741</v>
      </c>
      <c r="C163" s="2" t="s">
        <v>1734</v>
      </c>
      <c r="D163" s="2"/>
      <c r="E163" s="12">
        <v>6.549</v>
      </c>
      <c r="F163" s="12">
        <v>5.383</v>
      </c>
      <c r="G163" s="12">
        <v>5.861</v>
      </c>
      <c r="H163" s="12">
        <v>5.931</v>
      </c>
      <c r="I163" s="12">
        <v>5.383</v>
      </c>
      <c r="J163" s="12">
        <v>6.549</v>
      </c>
      <c r="K163" s="12">
        <v>1.165</v>
      </c>
      <c r="L163" s="12">
        <v>0.586</v>
      </c>
    </row>
    <row r="165" spans="1:12">
      <c r="A165" s="3" t="s">
        <v>1359</v>
      </c>
      <c r="B165" s="3" t="s">
        <v>1742</v>
      </c>
      <c r="C165" s="3" t="s">
        <v>1718</v>
      </c>
      <c r="D165" s="7">
        <v>0.24</v>
      </c>
      <c r="E165" s="8">
        <v>7</v>
      </c>
      <c r="F165" s="9">
        <v>6</v>
      </c>
      <c r="G165" s="9">
        <v>6.5</v>
      </c>
      <c r="H165" s="9">
        <v>6.5</v>
      </c>
      <c r="I165" s="11">
        <v>6</v>
      </c>
      <c r="J165" s="11">
        <v>7</v>
      </c>
      <c r="K165" s="11">
        <v>1</v>
      </c>
      <c r="L165" s="11">
        <v>0.5</v>
      </c>
    </row>
    <row r="166" spans="1:12">
      <c r="A166" s="3" t="s">
        <v>1359</v>
      </c>
      <c r="B166" s="3" t="s">
        <v>1742</v>
      </c>
      <c r="C166" s="3" t="s">
        <v>1719</v>
      </c>
      <c r="D166" s="7">
        <v>0.18</v>
      </c>
      <c r="E166" s="9">
        <v>5.5</v>
      </c>
      <c r="F166" s="9">
        <v>4.5</v>
      </c>
      <c r="G166" s="9">
        <v>5</v>
      </c>
      <c r="H166" s="9">
        <v>5</v>
      </c>
      <c r="I166" s="11">
        <v>4.5</v>
      </c>
      <c r="J166" s="11">
        <v>5.5</v>
      </c>
      <c r="K166" s="11">
        <v>1</v>
      </c>
      <c r="L166" s="11">
        <v>0.5</v>
      </c>
    </row>
    <row r="167" spans="1:12">
      <c r="A167" s="3" t="s">
        <v>1359</v>
      </c>
      <c r="B167" s="3" t="s">
        <v>1742</v>
      </c>
      <c r="C167" s="3" t="s">
        <v>1720</v>
      </c>
      <c r="D167" s="7">
        <v>0.15</v>
      </c>
      <c r="E167" s="9">
        <v>6.5</v>
      </c>
      <c r="F167" s="9">
        <v>5.5</v>
      </c>
      <c r="G167" s="9">
        <v>6</v>
      </c>
      <c r="H167" s="9">
        <v>6</v>
      </c>
      <c r="I167" s="11">
        <v>5.5</v>
      </c>
      <c r="J167" s="11">
        <v>6.5</v>
      </c>
      <c r="K167" s="11">
        <v>1</v>
      </c>
      <c r="L167" s="11">
        <v>0.5</v>
      </c>
    </row>
    <row r="168" spans="1:12">
      <c r="A168" s="3" t="s">
        <v>1359</v>
      </c>
      <c r="B168" s="3" t="s">
        <v>1742</v>
      </c>
      <c r="C168" s="3" t="s">
        <v>1721</v>
      </c>
      <c r="D168" s="7">
        <v>0.13</v>
      </c>
      <c r="E168" s="9">
        <v>6.5</v>
      </c>
      <c r="F168" s="9">
        <v>5.5</v>
      </c>
      <c r="G168" s="9">
        <v>6</v>
      </c>
      <c r="H168" s="9">
        <v>6</v>
      </c>
      <c r="I168" s="11">
        <v>5.5</v>
      </c>
      <c r="J168" s="11">
        <v>6.5</v>
      </c>
      <c r="K168" s="11">
        <v>1</v>
      </c>
      <c r="L168" s="11">
        <v>0.5</v>
      </c>
    </row>
    <row r="169" spans="1:12">
      <c r="A169" s="3" t="s">
        <v>1359</v>
      </c>
      <c r="B169" s="3" t="s">
        <v>1742</v>
      </c>
      <c r="C169" s="3" t="s">
        <v>1722</v>
      </c>
      <c r="D169" s="7">
        <v>0.12</v>
      </c>
      <c r="E169" s="9">
        <v>6</v>
      </c>
      <c r="F169" s="9">
        <v>5</v>
      </c>
      <c r="G169" s="9">
        <v>5.5</v>
      </c>
      <c r="H169" s="9">
        <v>5.5</v>
      </c>
      <c r="I169" s="11">
        <v>5</v>
      </c>
      <c r="J169" s="11">
        <v>6</v>
      </c>
      <c r="K169" s="11">
        <v>1</v>
      </c>
      <c r="L169" s="11">
        <v>0.5</v>
      </c>
    </row>
    <row r="170" spans="1:12">
      <c r="A170" s="3" t="s">
        <v>1359</v>
      </c>
      <c r="B170" s="3" t="s">
        <v>1742</v>
      </c>
      <c r="C170" s="3" t="s">
        <v>1723</v>
      </c>
      <c r="D170" s="7">
        <v>0.1</v>
      </c>
      <c r="E170" s="8">
        <v>7.5</v>
      </c>
      <c r="F170" s="9">
        <v>6.5</v>
      </c>
      <c r="G170" s="8">
        <v>7</v>
      </c>
      <c r="H170" s="8">
        <v>7</v>
      </c>
      <c r="I170" s="11">
        <v>6.5</v>
      </c>
      <c r="J170" s="11">
        <v>7.5</v>
      </c>
      <c r="K170" s="11">
        <v>1</v>
      </c>
      <c r="L170" s="11">
        <v>0.5</v>
      </c>
    </row>
    <row r="171" spans="1:12">
      <c r="A171" s="3" t="s">
        <v>1359</v>
      </c>
      <c r="B171" s="3" t="s">
        <v>1742</v>
      </c>
      <c r="C171" s="3" t="s">
        <v>1724</v>
      </c>
      <c r="D171" s="7">
        <v>0.08</v>
      </c>
      <c r="E171" s="9">
        <v>4.5</v>
      </c>
      <c r="F171" s="10">
        <v>3.5</v>
      </c>
      <c r="G171" s="10">
        <v>4</v>
      </c>
      <c r="H171" s="10">
        <v>4</v>
      </c>
      <c r="I171" s="11">
        <v>3.5</v>
      </c>
      <c r="J171" s="11">
        <v>4.5</v>
      </c>
      <c r="K171" s="11">
        <v>1</v>
      </c>
      <c r="L171" s="11">
        <v>0.5</v>
      </c>
    </row>
    <row r="172" spans="1:12">
      <c r="A172" s="3" t="s">
        <v>1359</v>
      </c>
      <c r="B172" s="3" t="s">
        <v>1742</v>
      </c>
      <c r="C172" s="3" t="s">
        <v>1725</v>
      </c>
      <c r="D172" s="7">
        <v>0.2</v>
      </c>
      <c r="E172" s="9">
        <v>6</v>
      </c>
      <c r="F172" s="9">
        <v>5</v>
      </c>
      <c r="G172" s="9">
        <v>5.5</v>
      </c>
      <c r="H172" s="9">
        <v>5.5</v>
      </c>
      <c r="I172" s="11">
        <v>5</v>
      </c>
      <c r="J172" s="11">
        <v>6</v>
      </c>
      <c r="K172" s="11">
        <v>1</v>
      </c>
      <c r="L172" s="11">
        <v>0.5</v>
      </c>
    </row>
    <row r="173" spans="1:12">
      <c r="A173" s="3" t="s">
        <v>1359</v>
      </c>
      <c r="B173" s="3" t="s">
        <v>1742</v>
      </c>
      <c r="C173" s="3" t="s">
        <v>1726</v>
      </c>
      <c r="D173" s="7">
        <v>0.16</v>
      </c>
      <c r="E173" s="9">
        <v>6.5</v>
      </c>
      <c r="F173" s="9">
        <v>5.5</v>
      </c>
      <c r="G173" s="9">
        <v>6</v>
      </c>
      <c r="H173" s="9">
        <v>6</v>
      </c>
      <c r="I173" s="11">
        <v>5.5</v>
      </c>
      <c r="J173" s="11">
        <v>6.5</v>
      </c>
      <c r="K173" s="11">
        <v>1</v>
      </c>
      <c r="L173" s="11">
        <v>0.5</v>
      </c>
    </row>
    <row r="174" spans="1:12">
      <c r="A174" s="3" t="s">
        <v>1359</v>
      </c>
      <c r="B174" s="3" t="s">
        <v>1742</v>
      </c>
      <c r="C174" s="3" t="s">
        <v>1727</v>
      </c>
      <c r="D174" s="7">
        <v>0.15</v>
      </c>
      <c r="E174" s="8">
        <v>7</v>
      </c>
      <c r="F174" s="9">
        <v>6.5</v>
      </c>
      <c r="G174" s="9">
        <v>6.5</v>
      </c>
      <c r="H174" s="9">
        <v>6.666666666666667</v>
      </c>
      <c r="I174" s="11">
        <v>6.5</v>
      </c>
      <c r="J174" s="11">
        <v>7</v>
      </c>
      <c r="K174" s="11">
        <v>0.5</v>
      </c>
      <c r="L174" s="11">
        <v>0.2886751345948129</v>
      </c>
    </row>
    <row r="175" spans="1:12">
      <c r="A175" s="3" t="s">
        <v>1359</v>
      </c>
      <c r="B175" s="3" t="s">
        <v>1742</v>
      </c>
      <c r="C175" s="3" t="s">
        <v>1728</v>
      </c>
      <c r="D175" s="7">
        <v>0.15</v>
      </c>
      <c r="E175" s="8">
        <v>8</v>
      </c>
      <c r="F175" s="8">
        <v>7</v>
      </c>
      <c r="G175" s="8">
        <v>7.5</v>
      </c>
      <c r="H175" s="8">
        <v>7.5</v>
      </c>
      <c r="I175" s="11">
        <v>7</v>
      </c>
      <c r="J175" s="11">
        <v>8</v>
      </c>
      <c r="K175" s="11">
        <v>1</v>
      </c>
      <c r="L175" s="11">
        <v>0.5</v>
      </c>
    </row>
    <row r="176" spans="1:12">
      <c r="A176" s="3" t="s">
        <v>1359</v>
      </c>
      <c r="B176" s="3" t="s">
        <v>1742</v>
      </c>
      <c r="C176" s="3" t="s">
        <v>1729</v>
      </c>
      <c r="D176" s="7">
        <v>0.13</v>
      </c>
      <c r="E176" s="9">
        <v>5</v>
      </c>
      <c r="F176" s="10">
        <v>4</v>
      </c>
      <c r="G176" s="9">
        <v>4.5</v>
      </c>
      <c r="H176" s="9">
        <v>4.5</v>
      </c>
      <c r="I176" s="11">
        <v>4</v>
      </c>
      <c r="J176" s="11">
        <v>5</v>
      </c>
      <c r="K176" s="11">
        <v>1</v>
      </c>
      <c r="L176" s="11">
        <v>0.5</v>
      </c>
    </row>
    <row r="177" spans="1:12">
      <c r="A177" s="3" t="s">
        <v>1359</v>
      </c>
      <c r="B177" s="3" t="s">
        <v>1742</v>
      </c>
      <c r="C177" s="3" t="s">
        <v>1730</v>
      </c>
      <c r="D177" s="7">
        <v>0.12</v>
      </c>
      <c r="E177" s="9">
        <v>6.5</v>
      </c>
      <c r="F177" s="9">
        <v>5.5</v>
      </c>
      <c r="G177" s="9">
        <v>6</v>
      </c>
      <c r="H177" s="9">
        <v>6</v>
      </c>
      <c r="I177" s="11">
        <v>5.5</v>
      </c>
      <c r="J177" s="11">
        <v>6.5</v>
      </c>
      <c r="K177" s="11">
        <v>1</v>
      </c>
      <c r="L177" s="11">
        <v>0.5</v>
      </c>
    </row>
    <row r="178" spans="1:12">
      <c r="A178" s="3" t="s">
        <v>1359</v>
      </c>
      <c r="B178" s="3" t="s">
        <v>1742</v>
      </c>
      <c r="C178" s="3" t="s">
        <v>1731</v>
      </c>
      <c r="D178" s="7">
        <v>0.09</v>
      </c>
      <c r="E178" s="8">
        <v>7.5</v>
      </c>
      <c r="F178" s="8">
        <v>7</v>
      </c>
      <c r="G178" s="8">
        <v>7</v>
      </c>
      <c r="H178" s="8">
        <v>7.166666666666667</v>
      </c>
      <c r="I178" s="11">
        <v>7</v>
      </c>
      <c r="J178" s="11">
        <v>7.5</v>
      </c>
      <c r="K178" s="11">
        <v>0.5</v>
      </c>
      <c r="L178" s="11">
        <v>0.2886751345948129</v>
      </c>
    </row>
    <row r="179" spans="1:12">
      <c r="A179" s="2" t="s">
        <v>1359</v>
      </c>
      <c r="B179" s="2" t="s">
        <v>1742</v>
      </c>
      <c r="C179" s="2" t="s">
        <v>1732</v>
      </c>
      <c r="D179" s="2"/>
      <c r="E179" s="12">
        <v>6.32</v>
      </c>
      <c r="F179" s="12">
        <v>5.32</v>
      </c>
      <c r="G179" s="12">
        <v>5.82</v>
      </c>
      <c r="H179" s="12">
        <v>5.82</v>
      </c>
      <c r="I179" s="12">
        <v>5.32</v>
      </c>
      <c r="J179" s="12">
        <v>6.32</v>
      </c>
      <c r="K179" s="12">
        <v>1</v>
      </c>
      <c r="L179" s="12">
        <v>0.5</v>
      </c>
    </row>
    <row r="180" spans="1:12">
      <c r="A180" s="2" t="s">
        <v>1359</v>
      </c>
      <c r="B180" s="2" t="s">
        <v>1742</v>
      </c>
      <c r="C180" s="2" t="s">
        <v>1733</v>
      </c>
      <c r="D180" s="2"/>
      <c r="E180" s="12">
        <v>6.595</v>
      </c>
      <c r="F180" s="12">
        <v>5.715</v>
      </c>
      <c r="G180" s="12">
        <v>6.095</v>
      </c>
      <c r="H180" s="12">
        <v>6.135</v>
      </c>
      <c r="I180" s="12">
        <v>5.715</v>
      </c>
      <c r="J180" s="12">
        <v>6.595</v>
      </c>
      <c r="K180" s="12">
        <v>0.88</v>
      </c>
      <c r="L180" s="12">
        <v>0.441</v>
      </c>
    </row>
    <row r="181" spans="1:12">
      <c r="A181" s="2" t="s">
        <v>1359</v>
      </c>
      <c r="B181" s="2" t="s">
        <v>1742</v>
      </c>
      <c r="C181" s="2" t="s">
        <v>1734</v>
      </c>
      <c r="D181" s="2"/>
      <c r="E181" s="12">
        <v>6.402</v>
      </c>
      <c r="F181" s="12">
        <v>5.438</v>
      </c>
      <c r="G181" s="12">
        <v>5.902</v>
      </c>
      <c r="H181" s="12">
        <v>5.914</v>
      </c>
      <c r="I181" s="12">
        <v>5.438</v>
      </c>
      <c r="J181" s="12">
        <v>6.402</v>
      </c>
      <c r="K181" s="12">
        <v>0.964</v>
      </c>
      <c r="L181" s="12">
        <v>0.482</v>
      </c>
    </row>
    <row r="183" spans="1:12">
      <c r="A183" s="3" t="s">
        <v>691</v>
      </c>
      <c r="B183" s="3" t="s">
        <v>1743</v>
      </c>
      <c r="C183" s="3" t="s">
        <v>1718</v>
      </c>
      <c r="D183" s="7">
        <v>0.24</v>
      </c>
      <c r="E183" s="9">
        <v>6</v>
      </c>
      <c r="F183" s="9">
        <v>5</v>
      </c>
      <c r="G183" s="9">
        <v>5.5</v>
      </c>
      <c r="H183" s="9">
        <v>5.5</v>
      </c>
      <c r="I183" s="11">
        <v>5</v>
      </c>
      <c r="J183" s="11">
        <v>6</v>
      </c>
      <c r="K183" s="11">
        <v>1</v>
      </c>
      <c r="L183" s="11">
        <v>0.5</v>
      </c>
    </row>
    <row r="184" spans="1:12">
      <c r="A184" s="3" t="s">
        <v>691</v>
      </c>
      <c r="B184" s="3" t="s">
        <v>1743</v>
      </c>
      <c r="C184" s="3" t="s">
        <v>1719</v>
      </c>
      <c r="D184" s="7">
        <v>0.18</v>
      </c>
      <c r="E184" s="9">
        <v>6.5</v>
      </c>
      <c r="F184" s="9">
        <v>5.5</v>
      </c>
      <c r="G184" s="9">
        <v>6</v>
      </c>
      <c r="H184" s="9">
        <v>6</v>
      </c>
      <c r="I184" s="11">
        <v>5.5</v>
      </c>
      <c r="J184" s="11">
        <v>6.5</v>
      </c>
      <c r="K184" s="11">
        <v>1</v>
      </c>
      <c r="L184" s="11">
        <v>0.5</v>
      </c>
    </row>
    <row r="185" spans="1:12">
      <c r="A185" s="3" t="s">
        <v>691</v>
      </c>
      <c r="B185" s="3" t="s">
        <v>1743</v>
      </c>
      <c r="C185" s="3" t="s">
        <v>1720</v>
      </c>
      <c r="D185" s="7">
        <v>0.15</v>
      </c>
      <c r="E185" s="9">
        <v>6.5</v>
      </c>
      <c r="F185" s="9">
        <v>5.5</v>
      </c>
      <c r="G185" s="9">
        <v>6</v>
      </c>
      <c r="H185" s="9">
        <v>6</v>
      </c>
      <c r="I185" s="11">
        <v>5.5</v>
      </c>
      <c r="J185" s="11">
        <v>6.5</v>
      </c>
      <c r="K185" s="11">
        <v>1</v>
      </c>
      <c r="L185" s="11">
        <v>0.5</v>
      </c>
    </row>
    <row r="186" spans="1:12">
      <c r="A186" s="3" t="s">
        <v>691</v>
      </c>
      <c r="B186" s="3" t="s">
        <v>1743</v>
      </c>
      <c r="C186" s="3" t="s">
        <v>1721</v>
      </c>
      <c r="D186" s="7">
        <v>0.13</v>
      </c>
      <c r="E186" s="9">
        <v>5.5</v>
      </c>
      <c r="F186" s="9">
        <v>4.5</v>
      </c>
      <c r="G186" s="9">
        <v>5</v>
      </c>
      <c r="H186" s="9">
        <v>5</v>
      </c>
      <c r="I186" s="11">
        <v>4.5</v>
      </c>
      <c r="J186" s="11">
        <v>5.5</v>
      </c>
      <c r="K186" s="11">
        <v>1</v>
      </c>
      <c r="L186" s="11">
        <v>0.5</v>
      </c>
    </row>
    <row r="187" spans="1:12">
      <c r="A187" s="3" t="s">
        <v>691</v>
      </c>
      <c r="B187" s="3" t="s">
        <v>1743</v>
      </c>
      <c r="C187" s="3" t="s">
        <v>1722</v>
      </c>
      <c r="D187" s="7">
        <v>0.12</v>
      </c>
      <c r="E187" s="9">
        <v>6.5</v>
      </c>
      <c r="F187" s="9">
        <v>5.5</v>
      </c>
      <c r="G187" s="9">
        <v>6</v>
      </c>
      <c r="H187" s="9">
        <v>6</v>
      </c>
      <c r="I187" s="11">
        <v>5.5</v>
      </c>
      <c r="J187" s="11">
        <v>6.5</v>
      </c>
      <c r="K187" s="11">
        <v>1</v>
      </c>
      <c r="L187" s="11">
        <v>0.5</v>
      </c>
    </row>
    <row r="188" spans="1:12">
      <c r="A188" s="3" t="s">
        <v>691</v>
      </c>
      <c r="B188" s="3" t="s">
        <v>1743</v>
      </c>
      <c r="C188" s="3" t="s">
        <v>1723</v>
      </c>
      <c r="D188" s="7">
        <v>0.1</v>
      </c>
      <c r="E188" s="9">
        <v>6.5</v>
      </c>
      <c r="F188" s="9">
        <v>5.5</v>
      </c>
      <c r="G188" s="9">
        <v>6</v>
      </c>
      <c r="H188" s="9">
        <v>6</v>
      </c>
      <c r="I188" s="11">
        <v>5.5</v>
      </c>
      <c r="J188" s="11">
        <v>6.5</v>
      </c>
      <c r="K188" s="11">
        <v>1</v>
      </c>
      <c r="L188" s="11">
        <v>0.5</v>
      </c>
    </row>
    <row r="189" spans="1:12">
      <c r="A189" s="3" t="s">
        <v>691</v>
      </c>
      <c r="B189" s="3" t="s">
        <v>1743</v>
      </c>
      <c r="C189" s="3" t="s">
        <v>1724</v>
      </c>
      <c r="D189" s="7">
        <v>0.08</v>
      </c>
      <c r="E189" s="9">
        <v>6</v>
      </c>
      <c r="F189" s="9">
        <v>5</v>
      </c>
      <c r="G189" s="9">
        <v>5.5</v>
      </c>
      <c r="H189" s="9">
        <v>5.5</v>
      </c>
      <c r="I189" s="11">
        <v>5</v>
      </c>
      <c r="J189" s="11">
        <v>6</v>
      </c>
      <c r="K189" s="11">
        <v>1</v>
      </c>
      <c r="L189" s="11">
        <v>0.5</v>
      </c>
    </row>
    <row r="190" spans="1:12">
      <c r="A190" s="3" t="s">
        <v>691</v>
      </c>
      <c r="B190" s="3" t="s">
        <v>1743</v>
      </c>
      <c r="C190" s="3" t="s">
        <v>1725</v>
      </c>
      <c r="D190" s="7">
        <v>0.2</v>
      </c>
      <c r="E190" s="9">
        <v>5.5</v>
      </c>
      <c r="F190" s="9">
        <v>4.5</v>
      </c>
      <c r="G190" s="9">
        <v>5</v>
      </c>
      <c r="H190" s="9">
        <v>5</v>
      </c>
      <c r="I190" s="11">
        <v>4.5</v>
      </c>
      <c r="J190" s="11">
        <v>5.5</v>
      </c>
      <c r="K190" s="11">
        <v>1</v>
      </c>
      <c r="L190" s="11">
        <v>0.5</v>
      </c>
    </row>
    <row r="191" spans="1:12">
      <c r="A191" s="3" t="s">
        <v>691</v>
      </c>
      <c r="B191" s="3" t="s">
        <v>1743</v>
      </c>
      <c r="C191" s="3" t="s">
        <v>1726</v>
      </c>
      <c r="D191" s="7">
        <v>0.16</v>
      </c>
      <c r="E191" s="9">
        <v>6</v>
      </c>
      <c r="F191" s="9">
        <v>5</v>
      </c>
      <c r="G191" s="9">
        <v>5.5</v>
      </c>
      <c r="H191" s="9">
        <v>5.5</v>
      </c>
      <c r="I191" s="11">
        <v>5</v>
      </c>
      <c r="J191" s="11">
        <v>6</v>
      </c>
      <c r="K191" s="11">
        <v>1</v>
      </c>
      <c r="L191" s="11">
        <v>0.5</v>
      </c>
    </row>
    <row r="192" spans="1:12">
      <c r="A192" s="3" t="s">
        <v>691</v>
      </c>
      <c r="B192" s="3" t="s">
        <v>1743</v>
      </c>
      <c r="C192" s="3" t="s">
        <v>1727</v>
      </c>
      <c r="D192" s="7">
        <v>0.15</v>
      </c>
      <c r="E192" s="8">
        <v>7</v>
      </c>
      <c r="F192" s="9">
        <v>6.5</v>
      </c>
      <c r="G192" s="9">
        <v>6.5</v>
      </c>
      <c r="H192" s="9">
        <v>6.666666666666667</v>
      </c>
      <c r="I192" s="11">
        <v>6.5</v>
      </c>
      <c r="J192" s="11">
        <v>7</v>
      </c>
      <c r="K192" s="11">
        <v>0.5</v>
      </c>
      <c r="L192" s="11">
        <v>0.2886751345948129</v>
      </c>
    </row>
    <row r="193" spans="1:12">
      <c r="A193" s="3" t="s">
        <v>691</v>
      </c>
      <c r="B193" s="3" t="s">
        <v>1743</v>
      </c>
      <c r="C193" s="3" t="s">
        <v>1728</v>
      </c>
      <c r="D193" s="7">
        <v>0.15</v>
      </c>
      <c r="E193" s="9">
        <v>6.5</v>
      </c>
      <c r="F193" s="9">
        <v>5.5</v>
      </c>
      <c r="G193" s="9">
        <v>6</v>
      </c>
      <c r="H193" s="9">
        <v>6</v>
      </c>
      <c r="I193" s="11">
        <v>5.5</v>
      </c>
      <c r="J193" s="11">
        <v>6.5</v>
      </c>
      <c r="K193" s="11">
        <v>1</v>
      </c>
      <c r="L193" s="11">
        <v>0.5</v>
      </c>
    </row>
    <row r="194" spans="1:12">
      <c r="A194" s="3" t="s">
        <v>691</v>
      </c>
      <c r="B194" s="3" t="s">
        <v>1743</v>
      </c>
      <c r="C194" s="3" t="s">
        <v>1729</v>
      </c>
      <c r="D194" s="7">
        <v>0.13</v>
      </c>
      <c r="E194" s="8">
        <v>9.5</v>
      </c>
      <c r="F194" s="8">
        <v>9</v>
      </c>
      <c r="G194" s="8">
        <v>9</v>
      </c>
      <c r="H194" s="8">
        <v>9.166666666666666</v>
      </c>
      <c r="I194" s="11">
        <v>9</v>
      </c>
      <c r="J194" s="11">
        <v>9.5</v>
      </c>
      <c r="K194" s="11">
        <v>0.5</v>
      </c>
      <c r="L194" s="11">
        <v>0.2886751345948129</v>
      </c>
    </row>
    <row r="195" spans="1:12">
      <c r="A195" s="3" t="s">
        <v>691</v>
      </c>
      <c r="B195" s="3" t="s">
        <v>1743</v>
      </c>
      <c r="C195" s="3" t="s">
        <v>1730</v>
      </c>
      <c r="D195" s="7">
        <v>0.12</v>
      </c>
      <c r="E195" s="9">
        <v>6</v>
      </c>
      <c r="F195" s="9">
        <v>5</v>
      </c>
      <c r="G195" s="9">
        <v>5.5</v>
      </c>
      <c r="H195" s="9">
        <v>5.5</v>
      </c>
      <c r="I195" s="11">
        <v>5</v>
      </c>
      <c r="J195" s="11">
        <v>6</v>
      </c>
      <c r="K195" s="11">
        <v>1</v>
      </c>
      <c r="L195" s="11">
        <v>0.5</v>
      </c>
    </row>
    <row r="196" spans="1:12">
      <c r="A196" s="3" t="s">
        <v>691</v>
      </c>
      <c r="B196" s="3" t="s">
        <v>1743</v>
      </c>
      <c r="C196" s="3" t="s">
        <v>1731</v>
      </c>
      <c r="D196" s="7">
        <v>0.09</v>
      </c>
      <c r="E196" s="9">
        <v>6</v>
      </c>
      <c r="F196" s="9">
        <v>5.5</v>
      </c>
      <c r="G196" s="9">
        <v>6</v>
      </c>
      <c r="H196" s="9">
        <v>5.833333333333333</v>
      </c>
      <c r="I196" s="11">
        <v>5.5</v>
      </c>
      <c r="J196" s="11">
        <v>6</v>
      </c>
      <c r="K196" s="11">
        <v>0.5</v>
      </c>
      <c r="L196" s="11">
        <v>0.2886751345948129</v>
      </c>
    </row>
    <row r="197" spans="1:12">
      <c r="A197" s="2" t="s">
        <v>691</v>
      </c>
      <c r="B197" s="2" t="s">
        <v>1743</v>
      </c>
      <c r="C197" s="2" t="s">
        <v>1732</v>
      </c>
      <c r="D197" s="2"/>
      <c r="E197" s="12">
        <v>6.21</v>
      </c>
      <c r="F197" s="12">
        <v>5.21</v>
      </c>
      <c r="G197" s="12">
        <v>5.71</v>
      </c>
      <c r="H197" s="12">
        <v>5.71</v>
      </c>
      <c r="I197" s="12">
        <v>5.21</v>
      </c>
      <c r="J197" s="12">
        <v>6.21</v>
      </c>
      <c r="K197" s="12">
        <v>1</v>
      </c>
      <c r="L197" s="12">
        <v>0.5</v>
      </c>
    </row>
    <row r="198" spans="1:12">
      <c r="A198" s="2" t="s">
        <v>691</v>
      </c>
      <c r="B198" s="2" t="s">
        <v>1743</v>
      </c>
      <c r="C198" s="2" t="s">
        <v>1733</v>
      </c>
      <c r="D198" s="2"/>
      <c r="E198" s="12">
        <v>6.58</v>
      </c>
      <c r="F198" s="12">
        <v>5.765</v>
      </c>
      <c r="G198" s="12">
        <v>6.125</v>
      </c>
      <c r="H198" s="12">
        <v>6.157</v>
      </c>
      <c r="I198" s="12">
        <v>5.765</v>
      </c>
      <c r="J198" s="12">
        <v>6.58</v>
      </c>
      <c r="K198" s="12">
        <v>0.8149999999999999</v>
      </c>
      <c r="L198" s="12">
        <v>0.408</v>
      </c>
    </row>
    <row r="199" spans="1:12">
      <c r="A199" s="2" t="s">
        <v>691</v>
      </c>
      <c r="B199" s="2" t="s">
        <v>1743</v>
      </c>
      <c r="C199" s="2" t="s">
        <v>1734</v>
      </c>
      <c r="D199" s="2"/>
      <c r="E199" s="12">
        <v>6.321</v>
      </c>
      <c r="F199" s="12">
        <v>5.377</v>
      </c>
      <c r="G199" s="12">
        <v>5.835</v>
      </c>
      <c r="H199" s="12">
        <v>5.844</v>
      </c>
      <c r="I199" s="12">
        <v>5.377</v>
      </c>
      <c r="J199" s="12">
        <v>6.321</v>
      </c>
      <c r="K199" s="12">
        <v>0.945</v>
      </c>
      <c r="L199" s="12">
        <v>0.472</v>
      </c>
    </row>
    <row r="201" spans="1:12">
      <c r="A201" s="3" t="s">
        <v>636</v>
      </c>
      <c r="B201" s="3" t="s">
        <v>637</v>
      </c>
      <c r="C201" s="3" t="s">
        <v>1718</v>
      </c>
      <c r="D201" s="7">
        <v>0.24</v>
      </c>
      <c r="E201" s="9">
        <v>6.5</v>
      </c>
      <c r="F201" s="9">
        <v>5.5</v>
      </c>
      <c r="G201" s="9">
        <v>6</v>
      </c>
      <c r="H201" s="9">
        <v>6</v>
      </c>
      <c r="I201" s="11">
        <v>5.5</v>
      </c>
      <c r="J201" s="11">
        <v>6.5</v>
      </c>
      <c r="K201" s="11">
        <v>1</v>
      </c>
      <c r="L201" s="11">
        <v>0.5</v>
      </c>
    </row>
    <row r="202" spans="1:12">
      <c r="A202" s="3" t="s">
        <v>636</v>
      </c>
      <c r="B202" s="3" t="s">
        <v>637</v>
      </c>
      <c r="C202" s="3" t="s">
        <v>1719</v>
      </c>
      <c r="D202" s="7">
        <v>0.18</v>
      </c>
      <c r="E202" s="9">
        <v>6.5</v>
      </c>
      <c r="F202" s="9">
        <v>5.5</v>
      </c>
      <c r="G202" s="9">
        <v>6</v>
      </c>
      <c r="H202" s="9">
        <v>6</v>
      </c>
      <c r="I202" s="11">
        <v>5.5</v>
      </c>
      <c r="J202" s="11">
        <v>6.5</v>
      </c>
      <c r="K202" s="11">
        <v>1</v>
      </c>
      <c r="L202" s="11">
        <v>0.5</v>
      </c>
    </row>
    <row r="203" spans="1:12">
      <c r="A203" s="3" t="s">
        <v>636</v>
      </c>
      <c r="B203" s="3" t="s">
        <v>637</v>
      </c>
      <c r="C203" s="3" t="s">
        <v>1720</v>
      </c>
      <c r="D203" s="7">
        <v>0.15</v>
      </c>
      <c r="E203" s="8">
        <v>8</v>
      </c>
      <c r="F203" s="8">
        <v>7</v>
      </c>
      <c r="G203" s="8">
        <v>7.5</v>
      </c>
      <c r="H203" s="8">
        <v>7.5</v>
      </c>
      <c r="I203" s="11">
        <v>7</v>
      </c>
      <c r="J203" s="11">
        <v>8</v>
      </c>
      <c r="K203" s="11">
        <v>1</v>
      </c>
      <c r="L203" s="11">
        <v>0.5</v>
      </c>
    </row>
    <row r="204" spans="1:12">
      <c r="A204" s="3" t="s">
        <v>636</v>
      </c>
      <c r="B204" s="3" t="s">
        <v>637</v>
      </c>
      <c r="C204" s="3" t="s">
        <v>1721</v>
      </c>
      <c r="D204" s="7">
        <v>0.13</v>
      </c>
      <c r="E204" s="9">
        <v>6.5</v>
      </c>
      <c r="F204" s="9">
        <v>5.5</v>
      </c>
      <c r="G204" s="9">
        <v>6</v>
      </c>
      <c r="H204" s="9">
        <v>6</v>
      </c>
      <c r="I204" s="11">
        <v>5.5</v>
      </c>
      <c r="J204" s="11">
        <v>6.5</v>
      </c>
      <c r="K204" s="11">
        <v>1</v>
      </c>
      <c r="L204" s="11">
        <v>0.5</v>
      </c>
    </row>
    <row r="205" spans="1:12">
      <c r="A205" s="3" t="s">
        <v>636</v>
      </c>
      <c r="B205" s="3" t="s">
        <v>637</v>
      </c>
      <c r="C205" s="3" t="s">
        <v>1722</v>
      </c>
      <c r="D205" s="7">
        <v>0.12</v>
      </c>
      <c r="E205" s="9">
        <v>5.5</v>
      </c>
      <c r="F205" s="9">
        <v>4.5</v>
      </c>
      <c r="G205" s="9">
        <v>5</v>
      </c>
      <c r="H205" s="9">
        <v>5</v>
      </c>
      <c r="I205" s="11">
        <v>4.5</v>
      </c>
      <c r="J205" s="11">
        <v>5.5</v>
      </c>
      <c r="K205" s="11">
        <v>1</v>
      </c>
      <c r="L205" s="11">
        <v>0.5</v>
      </c>
    </row>
    <row r="206" spans="1:12">
      <c r="A206" s="3" t="s">
        <v>636</v>
      </c>
      <c r="B206" s="3" t="s">
        <v>637</v>
      </c>
      <c r="C206" s="3" t="s">
        <v>1723</v>
      </c>
      <c r="D206" s="7">
        <v>0.1</v>
      </c>
      <c r="E206" s="9">
        <v>6.5</v>
      </c>
      <c r="F206" s="9">
        <v>5.5</v>
      </c>
      <c r="G206" s="9">
        <v>6</v>
      </c>
      <c r="H206" s="9">
        <v>6</v>
      </c>
      <c r="I206" s="11">
        <v>5.5</v>
      </c>
      <c r="J206" s="11">
        <v>6.5</v>
      </c>
      <c r="K206" s="11">
        <v>1</v>
      </c>
      <c r="L206" s="11">
        <v>0.5</v>
      </c>
    </row>
    <row r="207" spans="1:12">
      <c r="A207" s="3" t="s">
        <v>636</v>
      </c>
      <c r="B207" s="3" t="s">
        <v>637</v>
      </c>
      <c r="C207" s="3" t="s">
        <v>1724</v>
      </c>
      <c r="D207" s="7">
        <v>0.08</v>
      </c>
      <c r="E207" s="10">
        <v>4</v>
      </c>
      <c r="F207" s="10">
        <v>3</v>
      </c>
      <c r="G207" s="10">
        <v>3.5</v>
      </c>
      <c r="H207" s="10">
        <v>3.5</v>
      </c>
      <c r="I207" s="11">
        <v>3</v>
      </c>
      <c r="J207" s="11">
        <v>4</v>
      </c>
      <c r="K207" s="11">
        <v>1</v>
      </c>
      <c r="L207" s="11">
        <v>0.5</v>
      </c>
    </row>
    <row r="208" spans="1:12">
      <c r="A208" s="3" t="s">
        <v>636</v>
      </c>
      <c r="B208" s="3" t="s">
        <v>637</v>
      </c>
      <c r="C208" s="3" t="s">
        <v>1725</v>
      </c>
      <c r="D208" s="7">
        <v>0.2</v>
      </c>
      <c r="E208" s="8">
        <v>7</v>
      </c>
      <c r="F208" s="9">
        <v>6</v>
      </c>
      <c r="G208" s="9">
        <v>6.5</v>
      </c>
      <c r="H208" s="9">
        <v>6.5</v>
      </c>
      <c r="I208" s="11">
        <v>6</v>
      </c>
      <c r="J208" s="11">
        <v>7</v>
      </c>
      <c r="K208" s="11">
        <v>1</v>
      </c>
      <c r="L208" s="11">
        <v>0.5</v>
      </c>
    </row>
    <row r="209" spans="1:12">
      <c r="A209" s="3" t="s">
        <v>636</v>
      </c>
      <c r="B209" s="3" t="s">
        <v>637</v>
      </c>
      <c r="C209" s="3" t="s">
        <v>1726</v>
      </c>
      <c r="D209" s="7">
        <v>0.16</v>
      </c>
      <c r="E209" s="9">
        <v>5.5</v>
      </c>
      <c r="F209" s="9">
        <v>4.5</v>
      </c>
      <c r="G209" s="9">
        <v>5</v>
      </c>
      <c r="H209" s="9">
        <v>5</v>
      </c>
      <c r="I209" s="11">
        <v>4.5</v>
      </c>
      <c r="J209" s="11">
        <v>5.5</v>
      </c>
      <c r="K209" s="11">
        <v>1</v>
      </c>
      <c r="L209" s="11">
        <v>0.5</v>
      </c>
    </row>
    <row r="210" spans="1:12">
      <c r="A210" s="3" t="s">
        <v>636</v>
      </c>
      <c r="B210" s="3" t="s">
        <v>637</v>
      </c>
      <c r="C210" s="3" t="s">
        <v>1727</v>
      </c>
      <c r="D210" s="7">
        <v>0.15</v>
      </c>
      <c r="E210" s="9">
        <v>5</v>
      </c>
      <c r="F210" s="10">
        <v>4</v>
      </c>
      <c r="G210" s="9">
        <v>4.5</v>
      </c>
      <c r="H210" s="9">
        <v>4.5</v>
      </c>
      <c r="I210" s="11">
        <v>4</v>
      </c>
      <c r="J210" s="11">
        <v>5</v>
      </c>
      <c r="K210" s="11">
        <v>1</v>
      </c>
      <c r="L210" s="11">
        <v>0.5</v>
      </c>
    </row>
    <row r="211" spans="1:12">
      <c r="A211" s="3" t="s">
        <v>636</v>
      </c>
      <c r="B211" s="3" t="s">
        <v>637</v>
      </c>
      <c r="C211" s="3" t="s">
        <v>1728</v>
      </c>
      <c r="D211" s="7">
        <v>0.15</v>
      </c>
      <c r="E211" s="9">
        <v>6</v>
      </c>
      <c r="F211" s="9">
        <v>5</v>
      </c>
      <c r="G211" s="9">
        <v>5.5</v>
      </c>
      <c r="H211" s="9">
        <v>5.5</v>
      </c>
      <c r="I211" s="11">
        <v>5</v>
      </c>
      <c r="J211" s="11">
        <v>6</v>
      </c>
      <c r="K211" s="11">
        <v>1</v>
      </c>
      <c r="L211" s="11">
        <v>0.5</v>
      </c>
    </row>
    <row r="212" spans="1:12">
      <c r="A212" s="3" t="s">
        <v>636</v>
      </c>
      <c r="B212" s="3" t="s">
        <v>637</v>
      </c>
      <c r="C212" s="3" t="s">
        <v>1729</v>
      </c>
      <c r="D212" s="7">
        <v>0.13</v>
      </c>
      <c r="E212" s="8">
        <v>7</v>
      </c>
      <c r="F212" s="9">
        <v>6</v>
      </c>
      <c r="G212" s="9">
        <v>6.5</v>
      </c>
      <c r="H212" s="9">
        <v>6.5</v>
      </c>
      <c r="I212" s="11">
        <v>6</v>
      </c>
      <c r="J212" s="11">
        <v>7</v>
      </c>
      <c r="K212" s="11">
        <v>1</v>
      </c>
      <c r="L212" s="11">
        <v>0.5</v>
      </c>
    </row>
    <row r="213" spans="1:12">
      <c r="A213" s="3" t="s">
        <v>636</v>
      </c>
      <c r="B213" s="3" t="s">
        <v>637</v>
      </c>
      <c r="C213" s="3" t="s">
        <v>1730</v>
      </c>
      <c r="D213" s="7">
        <v>0.12</v>
      </c>
      <c r="E213" s="9">
        <v>6.5</v>
      </c>
      <c r="F213" s="9">
        <v>5.5</v>
      </c>
      <c r="G213" s="9">
        <v>6</v>
      </c>
      <c r="H213" s="9">
        <v>6</v>
      </c>
      <c r="I213" s="11">
        <v>5.5</v>
      </c>
      <c r="J213" s="11">
        <v>6.5</v>
      </c>
      <c r="K213" s="11">
        <v>1</v>
      </c>
      <c r="L213" s="11">
        <v>0.5</v>
      </c>
    </row>
    <row r="214" spans="1:12">
      <c r="A214" s="3" t="s">
        <v>636</v>
      </c>
      <c r="B214" s="3" t="s">
        <v>637</v>
      </c>
      <c r="C214" s="3" t="s">
        <v>1731</v>
      </c>
      <c r="D214" s="7">
        <v>0.09</v>
      </c>
      <c r="E214" s="9">
        <v>6</v>
      </c>
      <c r="F214" s="9">
        <v>5.5</v>
      </c>
      <c r="G214" s="9">
        <v>6</v>
      </c>
      <c r="H214" s="9">
        <v>5.833333333333333</v>
      </c>
      <c r="I214" s="11">
        <v>5.5</v>
      </c>
      <c r="J214" s="11">
        <v>6</v>
      </c>
      <c r="K214" s="11">
        <v>0.5</v>
      </c>
      <c r="L214" s="11">
        <v>0.2886751345948129</v>
      </c>
    </row>
    <row r="215" spans="1:12">
      <c r="A215" s="2" t="s">
        <v>636</v>
      </c>
      <c r="B215" s="2" t="s">
        <v>637</v>
      </c>
      <c r="C215" s="2" t="s">
        <v>1732</v>
      </c>
      <c r="D215" s="2"/>
      <c r="E215" s="12">
        <v>6.405</v>
      </c>
      <c r="F215" s="12">
        <v>5.405</v>
      </c>
      <c r="G215" s="12">
        <v>5.905</v>
      </c>
      <c r="H215" s="12">
        <v>5.905</v>
      </c>
      <c r="I215" s="12">
        <v>5.405</v>
      </c>
      <c r="J215" s="12">
        <v>6.405</v>
      </c>
      <c r="K215" s="12">
        <v>1</v>
      </c>
      <c r="L215" s="12">
        <v>0.5</v>
      </c>
    </row>
    <row r="216" spans="1:12">
      <c r="A216" s="2" t="s">
        <v>636</v>
      </c>
      <c r="B216" s="2" t="s">
        <v>637</v>
      </c>
      <c r="C216" s="2" t="s">
        <v>1733</v>
      </c>
      <c r="D216" s="2"/>
      <c r="E216" s="12">
        <v>6.16</v>
      </c>
      <c r="F216" s="12">
        <v>5.205</v>
      </c>
      <c r="G216" s="12">
        <v>5.705</v>
      </c>
      <c r="H216" s="12">
        <v>5.69</v>
      </c>
      <c r="I216" s="12">
        <v>5.205</v>
      </c>
      <c r="J216" s="12">
        <v>6.16</v>
      </c>
      <c r="K216" s="12">
        <v>0.955</v>
      </c>
      <c r="L216" s="12">
        <v>0.478</v>
      </c>
    </row>
    <row r="217" spans="1:12">
      <c r="A217" s="2" t="s">
        <v>636</v>
      </c>
      <c r="B217" s="2" t="s">
        <v>637</v>
      </c>
      <c r="C217" s="2" t="s">
        <v>1734</v>
      </c>
      <c r="D217" s="2"/>
      <c r="E217" s="12">
        <v>6.332</v>
      </c>
      <c r="F217" s="12">
        <v>5.345</v>
      </c>
      <c r="G217" s="12">
        <v>5.845</v>
      </c>
      <c r="H217" s="12">
        <v>5.84</v>
      </c>
      <c r="I217" s="12">
        <v>5.345</v>
      </c>
      <c r="J217" s="12">
        <v>6.332</v>
      </c>
      <c r="K217" s="12">
        <v>0.987</v>
      </c>
      <c r="L217" s="12">
        <v>0.493</v>
      </c>
    </row>
    <row r="219" spans="1:12">
      <c r="A219" s="3" t="s">
        <v>1434</v>
      </c>
      <c r="B219" s="3" t="s">
        <v>1744</v>
      </c>
      <c r="C219" s="3" t="s">
        <v>1718</v>
      </c>
      <c r="D219" s="7">
        <v>0.24</v>
      </c>
      <c r="E219" s="8">
        <v>7.5</v>
      </c>
      <c r="F219" s="9">
        <v>6.5</v>
      </c>
      <c r="G219" s="8">
        <v>7</v>
      </c>
      <c r="H219" s="8">
        <v>7</v>
      </c>
      <c r="I219" s="11">
        <v>6.5</v>
      </c>
      <c r="J219" s="11">
        <v>7.5</v>
      </c>
      <c r="K219" s="11">
        <v>1</v>
      </c>
      <c r="L219" s="11">
        <v>0.5</v>
      </c>
    </row>
    <row r="220" spans="1:12">
      <c r="A220" s="3" t="s">
        <v>1434</v>
      </c>
      <c r="B220" s="3" t="s">
        <v>1744</v>
      </c>
      <c r="C220" s="3" t="s">
        <v>1719</v>
      </c>
      <c r="D220" s="7">
        <v>0.18</v>
      </c>
      <c r="E220" s="9">
        <v>5</v>
      </c>
      <c r="F220" s="10">
        <v>4</v>
      </c>
      <c r="G220" s="9">
        <v>4.5</v>
      </c>
      <c r="H220" s="9">
        <v>4.5</v>
      </c>
      <c r="I220" s="11">
        <v>4</v>
      </c>
      <c r="J220" s="11">
        <v>5</v>
      </c>
      <c r="K220" s="11">
        <v>1</v>
      </c>
      <c r="L220" s="11">
        <v>0.5</v>
      </c>
    </row>
    <row r="221" spans="1:12">
      <c r="A221" s="3" t="s">
        <v>1434</v>
      </c>
      <c r="B221" s="3" t="s">
        <v>1744</v>
      </c>
      <c r="C221" s="3" t="s">
        <v>1720</v>
      </c>
      <c r="D221" s="7">
        <v>0.15</v>
      </c>
      <c r="E221" s="9">
        <v>5.5</v>
      </c>
      <c r="F221" s="9">
        <v>4.5</v>
      </c>
      <c r="G221" s="9">
        <v>5</v>
      </c>
      <c r="H221" s="9">
        <v>5</v>
      </c>
      <c r="I221" s="11">
        <v>4.5</v>
      </c>
      <c r="J221" s="11">
        <v>5.5</v>
      </c>
      <c r="K221" s="11">
        <v>1</v>
      </c>
      <c r="L221" s="11">
        <v>0.5</v>
      </c>
    </row>
    <row r="222" spans="1:12">
      <c r="A222" s="3" t="s">
        <v>1434</v>
      </c>
      <c r="B222" s="3" t="s">
        <v>1744</v>
      </c>
      <c r="C222" s="3" t="s">
        <v>1721</v>
      </c>
      <c r="D222" s="7">
        <v>0.13</v>
      </c>
      <c r="E222" s="9">
        <v>5.5</v>
      </c>
      <c r="F222" s="9">
        <v>4.5</v>
      </c>
      <c r="G222" s="9">
        <v>5</v>
      </c>
      <c r="H222" s="9">
        <v>5</v>
      </c>
      <c r="I222" s="11">
        <v>4.5</v>
      </c>
      <c r="J222" s="11">
        <v>5.5</v>
      </c>
      <c r="K222" s="11">
        <v>1</v>
      </c>
      <c r="L222" s="11">
        <v>0.5</v>
      </c>
    </row>
    <row r="223" spans="1:12">
      <c r="A223" s="3" t="s">
        <v>1434</v>
      </c>
      <c r="B223" s="3" t="s">
        <v>1744</v>
      </c>
      <c r="C223" s="3" t="s">
        <v>1722</v>
      </c>
      <c r="D223" s="7">
        <v>0.12</v>
      </c>
      <c r="E223" s="9">
        <v>6</v>
      </c>
      <c r="F223" s="9">
        <v>5</v>
      </c>
      <c r="G223" s="9">
        <v>5.5</v>
      </c>
      <c r="H223" s="9">
        <v>5.5</v>
      </c>
      <c r="I223" s="11">
        <v>5</v>
      </c>
      <c r="J223" s="11">
        <v>6</v>
      </c>
      <c r="K223" s="11">
        <v>1</v>
      </c>
      <c r="L223" s="11">
        <v>0.5</v>
      </c>
    </row>
    <row r="224" spans="1:12">
      <c r="A224" s="3" t="s">
        <v>1434</v>
      </c>
      <c r="B224" s="3" t="s">
        <v>1744</v>
      </c>
      <c r="C224" s="3" t="s">
        <v>1723</v>
      </c>
      <c r="D224" s="7">
        <v>0.1</v>
      </c>
      <c r="E224" s="9">
        <v>6.5</v>
      </c>
      <c r="F224" s="9">
        <v>5.5</v>
      </c>
      <c r="G224" s="9">
        <v>6</v>
      </c>
      <c r="H224" s="9">
        <v>6</v>
      </c>
      <c r="I224" s="11">
        <v>5.5</v>
      </c>
      <c r="J224" s="11">
        <v>6.5</v>
      </c>
      <c r="K224" s="11">
        <v>1</v>
      </c>
      <c r="L224" s="11">
        <v>0.5</v>
      </c>
    </row>
    <row r="225" spans="1:12">
      <c r="A225" s="3" t="s">
        <v>1434</v>
      </c>
      <c r="B225" s="3" t="s">
        <v>1744</v>
      </c>
      <c r="C225" s="3" t="s">
        <v>1724</v>
      </c>
      <c r="D225" s="7">
        <v>0.08</v>
      </c>
      <c r="E225" s="9">
        <v>4.5</v>
      </c>
      <c r="F225" s="10">
        <v>3.5</v>
      </c>
      <c r="G225" s="10">
        <v>4</v>
      </c>
      <c r="H225" s="10">
        <v>4</v>
      </c>
      <c r="I225" s="11">
        <v>3.5</v>
      </c>
      <c r="J225" s="11">
        <v>4.5</v>
      </c>
      <c r="K225" s="11">
        <v>1</v>
      </c>
      <c r="L225" s="11">
        <v>0.5</v>
      </c>
    </row>
    <row r="226" spans="1:12">
      <c r="A226" s="3" t="s">
        <v>1434</v>
      </c>
      <c r="B226" s="3" t="s">
        <v>1744</v>
      </c>
      <c r="C226" s="3" t="s">
        <v>1725</v>
      </c>
      <c r="D226" s="7">
        <v>0.2</v>
      </c>
      <c r="E226" s="8">
        <v>7.5</v>
      </c>
      <c r="F226" s="9">
        <v>6.5</v>
      </c>
      <c r="G226" s="8">
        <v>7</v>
      </c>
      <c r="H226" s="8">
        <v>7</v>
      </c>
      <c r="I226" s="11">
        <v>6.5</v>
      </c>
      <c r="J226" s="11">
        <v>7.5</v>
      </c>
      <c r="K226" s="11">
        <v>1</v>
      </c>
      <c r="L226" s="11">
        <v>0.5</v>
      </c>
    </row>
    <row r="227" spans="1:12">
      <c r="A227" s="3" t="s">
        <v>1434</v>
      </c>
      <c r="B227" s="3" t="s">
        <v>1744</v>
      </c>
      <c r="C227" s="3" t="s">
        <v>1726</v>
      </c>
      <c r="D227" s="7">
        <v>0.16</v>
      </c>
      <c r="E227" s="8">
        <v>7</v>
      </c>
      <c r="F227" s="9">
        <v>6</v>
      </c>
      <c r="G227" s="9">
        <v>6.5</v>
      </c>
      <c r="H227" s="9">
        <v>6.5</v>
      </c>
      <c r="I227" s="11">
        <v>6</v>
      </c>
      <c r="J227" s="11">
        <v>7</v>
      </c>
      <c r="K227" s="11">
        <v>1</v>
      </c>
      <c r="L227" s="11">
        <v>0.5</v>
      </c>
    </row>
    <row r="228" spans="1:12">
      <c r="A228" s="3" t="s">
        <v>1434</v>
      </c>
      <c r="B228" s="3" t="s">
        <v>1744</v>
      </c>
      <c r="C228" s="3" t="s">
        <v>1727</v>
      </c>
      <c r="D228" s="7">
        <v>0.15</v>
      </c>
      <c r="E228" s="8">
        <v>9</v>
      </c>
      <c r="F228" s="8">
        <v>8.5</v>
      </c>
      <c r="G228" s="8">
        <v>8.5</v>
      </c>
      <c r="H228" s="8">
        <v>8.666666666666666</v>
      </c>
      <c r="I228" s="11">
        <v>8.5</v>
      </c>
      <c r="J228" s="11">
        <v>9</v>
      </c>
      <c r="K228" s="11">
        <v>0.5</v>
      </c>
      <c r="L228" s="11">
        <v>0.2886751345948129</v>
      </c>
    </row>
    <row r="229" spans="1:12">
      <c r="A229" s="3" t="s">
        <v>1434</v>
      </c>
      <c r="B229" s="3" t="s">
        <v>1744</v>
      </c>
      <c r="C229" s="3" t="s">
        <v>1728</v>
      </c>
      <c r="D229" s="7">
        <v>0.15</v>
      </c>
      <c r="E229" s="8">
        <v>7</v>
      </c>
      <c r="F229" s="9">
        <v>6</v>
      </c>
      <c r="G229" s="9">
        <v>6.5</v>
      </c>
      <c r="H229" s="9">
        <v>6.5</v>
      </c>
      <c r="I229" s="11">
        <v>6</v>
      </c>
      <c r="J229" s="11">
        <v>7</v>
      </c>
      <c r="K229" s="11">
        <v>1</v>
      </c>
      <c r="L229" s="11">
        <v>0.5</v>
      </c>
    </row>
    <row r="230" spans="1:12">
      <c r="A230" s="3" t="s">
        <v>1434</v>
      </c>
      <c r="B230" s="3" t="s">
        <v>1744</v>
      </c>
      <c r="C230" s="3" t="s">
        <v>1729</v>
      </c>
      <c r="D230" s="7">
        <v>0.13</v>
      </c>
      <c r="E230" s="9">
        <v>4.5</v>
      </c>
      <c r="F230" s="10">
        <v>3.5</v>
      </c>
      <c r="G230" s="10">
        <v>4</v>
      </c>
      <c r="H230" s="10">
        <v>4</v>
      </c>
      <c r="I230" s="11">
        <v>3.5</v>
      </c>
      <c r="J230" s="11">
        <v>4.5</v>
      </c>
      <c r="K230" s="11">
        <v>1</v>
      </c>
      <c r="L230" s="11">
        <v>0.5</v>
      </c>
    </row>
    <row r="231" spans="1:12">
      <c r="A231" s="3" t="s">
        <v>1434</v>
      </c>
      <c r="B231" s="3" t="s">
        <v>1744</v>
      </c>
      <c r="C231" s="3" t="s">
        <v>1730</v>
      </c>
      <c r="D231" s="7">
        <v>0.12</v>
      </c>
      <c r="E231" s="9">
        <v>6.5</v>
      </c>
      <c r="F231" s="9">
        <v>5.5</v>
      </c>
      <c r="G231" s="9">
        <v>6</v>
      </c>
      <c r="H231" s="9">
        <v>6</v>
      </c>
      <c r="I231" s="11">
        <v>5.5</v>
      </c>
      <c r="J231" s="11">
        <v>6.5</v>
      </c>
      <c r="K231" s="11">
        <v>1</v>
      </c>
      <c r="L231" s="11">
        <v>0.5</v>
      </c>
    </row>
    <row r="232" spans="1:12">
      <c r="A232" s="3" t="s">
        <v>1434</v>
      </c>
      <c r="B232" s="3" t="s">
        <v>1744</v>
      </c>
      <c r="C232" s="3" t="s">
        <v>1731</v>
      </c>
      <c r="D232" s="7">
        <v>0.09</v>
      </c>
      <c r="E232" s="8">
        <v>8</v>
      </c>
      <c r="F232" s="8">
        <v>7.5</v>
      </c>
      <c r="G232" s="8">
        <v>8</v>
      </c>
      <c r="H232" s="8">
        <v>7.833333333333333</v>
      </c>
      <c r="I232" s="11">
        <v>7.5</v>
      </c>
      <c r="J232" s="11">
        <v>8</v>
      </c>
      <c r="K232" s="11">
        <v>0.5</v>
      </c>
      <c r="L232" s="11">
        <v>0.2886751345948129</v>
      </c>
    </row>
    <row r="233" spans="1:12">
      <c r="A233" s="2" t="s">
        <v>1434</v>
      </c>
      <c r="B233" s="2" t="s">
        <v>1744</v>
      </c>
      <c r="C233" s="2" t="s">
        <v>1732</v>
      </c>
      <c r="D233" s="2"/>
      <c r="E233" s="12">
        <v>5.97</v>
      </c>
      <c r="F233" s="12">
        <v>4.97</v>
      </c>
      <c r="G233" s="12">
        <v>5.47</v>
      </c>
      <c r="H233" s="12">
        <v>5.47</v>
      </c>
      <c r="I233" s="12">
        <v>4.97</v>
      </c>
      <c r="J233" s="12">
        <v>5.97</v>
      </c>
      <c r="K233" s="12">
        <v>1</v>
      </c>
      <c r="L233" s="12">
        <v>0.5</v>
      </c>
    </row>
    <row r="234" spans="1:12">
      <c r="A234" s="2" t="s">
        <v>1434</v>
      </c>
      <c r="B234" s="2" t="s">
        <v>1744</v>
      </c>
      <c r="C234" s="2" t="s">
        <v>1733</v>
      </c>
      <c r="D234" s="2"/>
      <c r="E234" s="12">
        <v>7.105</v>
      </c>
      <c r="F234" s="12">
        <v>6.225</v>
      </c>
      <c r="G234" s="12">
        <v>6.65</v>
      </c>
      <c r="H234" s="12">
        <v>6.66</v>
      </c>
      <c r="I234" s="12">
        <v>6.225</v>
      </c>
      <c r="J234" s="12">
        <v>7.105</v>
      </c>
      <c r="K234" s="12">
        <v>0.88</v>
      </c>
      <c r="L234" s="12">
        <v>0.44</v>
      </c>
    </row>
    <row r="235" spans="1:12">
      <c r="A235" s="2" t="s">
        <v>1434</v>
      </c>
      <c r="B235" s="2" t="s">
        <v>1744</v>
      </c>
      <c r="C235" s="2" t="s">
        <v>1734</v>
      </c>
      <c r="D235" s="2"/>
      <c r="E235" s="12">
        <v>6.31</v>
      </c>
      <c r="F235" s="12">
        <v>5.346</v>
      </c>
      <c r="G235" s="12">
        <v>5.824</v>
      </c>
      <c r="H235" s="12">
        <v>5.827</v>
      </c>
      <c r="I235" s="12">
        <v>5.346</v>
      </c>
      <c r="J235" s="12">
        <v>6.31</v>
      </c>
      <c r="K235" s="12">
        <v>0.964</v>
      </c>
      <c r="L235" s="12">
        <v>0.482</v>
      </c>
    </row>
    <row r="237" spans="1:12">
      <c r="A237" s="3" t="s">
        <v>1269</v>
      </c>
      <c r="B237" s="3" t="s">
        <v>1745</v>
      </c>
      <c r="C237" s="3" t="s">
        <v>1718</v>
      </c>
      <c r="D237" s="7">
        <v>0.24</v>
      </c>
      <c r="E237" s="8">
        <v>7.5</v>
      </c>
      <c r="F237" s="9">
        <v>6.5</v>
      </c>
      <c r="G237" s="8">
        <v>7</v>
      </c>
      <c r="H237" s="8">
        <v>7</v>
      </c>
      <c r="I237" s="11">
        <v>6.5</v>
      </c>
      <c r="J237" s="11">
        <v>7.5</v>
      </c>
      <c r="K237" s="11">
        <v>1</v>
      </c>
      <c r="L237" s="11">
        <v>0.5</v>
      </c>
    </row>
    <row r="238" spans="1:12">
      <c r="A238" s="3" t="s">
        <v>1269</v>
      </c>
      <c r="B238" s="3" t="s">
        <v>1745</v>
      </c>
      <c r="C238" s="3" t="s">
        <v>1719</v>
      </c>
      <c r="D238" s="7">
        <v>0.18</v>
      </c>
      <c r="E238" s="9">
        <v>5.5</v>
      </c>
      <c r="F238" s="9">
        <v>4.5</v>
      </c>
      <c r="G238" s="9">
        <v>5</v>
      </c>
      <c r="H238" s="9">
        <v>5</v>
      </c>
      <c r="I238" s="11">
        <v>4.5</v>
      </c>
      <c r="J238" s="11">
        <v>5.5</v>
      </c>
      <c r="K238" s="11">
        <v>1</v>
      </c>
      <c r="L238" s="11">
        <v>0.5</v>
      </c>
    </row>
    <row r="239" spans="1:12">
      <c r="A239" s="3" t="s">
        <v>1269</v>
      </c>
      <c r="B239" s="3" t="s">
        <v>1745</v>
      </c>
      <c r="C239" s="3" t="s">
        <v>1720</v>
      </c>
      <c r="D239" s="7">
        <v>0.15</v>
      </c>
      <c r="E239" s="9">
        <v>6</v>
      </c>
      <c r="F239" s="9">
        <v>5</v>
      </c>
      <c r="G239" s="9">
        <v>5.5</v>
      </c>
      <c r="H239" s="9">
        <v>5.5</v>
      </c>
      <c r="I239" s="11">
        <v>5</v>
      </c>
      <c r="J239" s="11">
        <v>6</v>
      </c>
      <c r="K239" s="11">
        <v>1</v>
      </c>
      <c r="L239" s="11">
        <v>0.5</v>
      </c>
    </row>
    <row r="240" spans="1:12">
      <c r="A240" s="3" t="s">
        <v>1269</v>
      </c>
      <c r="B240" s="3" t="s">
        <v>1745</v>
      </c>
      <c r="C240" s="3" t="s">
        <v>1721</v>
      </c>
      <c r="D240" s="7">
        <v>0.13</v>
      </c>
      <c r="E240" s="9">
        <v>5</v>
      </c>
      <c r="F240" s="10">
        <v>4</v>
      </c>
      <c r="G240" s="9">
        <v>4.5</v>
      </c>
      <c r="H240" s="9">
        <v>4.5</v>
      </c>
      <c r="I240" s="11">
        <v>4</v>
      </c>
      <c r="J240" s="11">
        <v>5</v>
      </c>
      <c r="K240" s="11">
        <v>1</v>
      </c>
      <c r="L240" s="11">
        <v>0.5</v>
      </c>
    </row>
    <row r="241" spans="1:12">
      <c r="A241" s="3" t="s">
        <v>1269</v>
      </c>
      <c r="B241" s="3" t="s">
        <v>1745</v>
      </c>
      <c r="C241" s="3" t="s">
        <v>1722</v>
      </c>
      <c r="D241" s="7">
        <v>0.12</v>
      </c>
      <c r="E241" s="9">
        <v>6.5</v>
      </c>
      <c r="F241" s="9">
        <v>5.5</v>
      </c>
      <c r="G241" s="9">
        <v>6</v>
      </c>
      <c r="H241" s="9">
        <v>6</v>
      </c>
      <c r="I241" s="11">
        <v>5.5</v>
      </c>
      <c r="J241" s="11">
        <v>6.5</v>
      </c>
      <c r="K241" s="11">
        <v>1</v>
      </c>
      <c r="L241" s="11">
        <v>0.5</v>
      </c>
    </row>
    <row r="242" spans="1:12">
      <c r="A242" s="3" t="s">
        <v>1269</v>
      </c>
      <c r="B242" s="3" t="s">
        <v>1745</v>
      </c>
      <c r="C242" s="3" t="s">
        <v>1723</v>
      </c>
      <c r="D242" s="7">
        <v>0.1</v>
      </c>
      <c r="E242" s="8">
        <v>7</v>
      </c>
      <c r="F242" s="9">
        <v>6</v>
      </c>
      <c r="G242" s="9">
        <v>6.5</v>
      </c>
      <c r="H242" s="9">
        <v>6.5</v>
      </c>
      <c r="I242" s="11">
        <v>6</v>
      </c>
      <c r="J242" s="11">
        <v>7</v>
      </c>
      <c r="K242" s="11">
        <v>1</v>
      </c>
      <c r="L242" s="11">
        <v>0.5</v>
      </c>
    </row>
    <row r="243" spans="1:12">
      <c r="A243" s="3" t="s">
        <v>1269</v>
      </c>
      <c r="B243" s="3" t="s">
        <v>1745</v>
      </c>
      <c r="C243" s="3" t="s">
        <v>1724</v>
      </c>
      <c r="D243" s="7">
        <v>0.08</v>
      </c>
      <c r="E243" s="9">
        <v>5</v>
      </c>
      <c r="F243" s="10">
        <v>4</v>
      </c>
      <c r="G243" s="9">
        <v>4.5</v>
      </c>
      <c r="H243" s="9">
        <v>4.5</v>
      </c>
      <c r="I243" s="11">
        <v>4</v>
      </c>
      <c r="J243" s="11">
        <v>5</v>
      </c>
      <c r="K243" s="11">
        <v>1</v>
      </c>
      <c r="L243" s="11">
        <v>0.5</v>
      </c>
    </row>
    <row r="244" spans="1:12">
      <c r="A244" s="3" t="s">
        <v>1269</v>
      </c>
      <c r="B244" s="3" t="s">
        <v>1745</v>
      </c>
      <c r="C244" s="3" t="s">
        <v>1725</v>
      </c>
      <c r="D244" s="7">
        <v>0.2</v>
      </c>
      <c r="E244" s="9">
        <v>6.5</v>
      </c>
      <c r="F244" s="9">
        <v>5.5</v>
      </c>
      <c r="G244" s="9">
        <v>6</v>
      </c>
      <c r="H244" s="9">
        <v>6</v>
      </c>
      <c r="I244" s="11">
        <v>5.5</v>
      </c>
      <c r="J244" s="11">
        <v>6.5</v>
      </c>
      <c r="K244" s="11">
        <v>1</v>
      </c>
      <c r="L244" s="11">
        <v>0.5</v>
      </c>
    </row>
    <row r="245" spans="1:12">
      <c r="A245" s="3" t="s">
        <v>1269</v>
      </c>
      <c r="B245" s="3" t="s">
        <v>1745</v>
      </c>
      <c r="C245" s="3" t="s">
        <v>1726</v>
      </c>
      <c r="D245" s="7">
        <v>0.16</v>
      </c>
      <c r="E245" s="9">
        <v>6</v>
      </c>
      <c r="F245" s="9">
        <v>5</v>
      </c>
      <c r="G245" s="9">
        <v>5.5</v>
      </c>
      <c r="H245" s="9">
        <v>5.5</v>
      </c>
      <c r="I245" s="11">
        <v>5</v>
      </c>
      <c r="J245" s="11">
        <v>6</v>
      </c>
      <c r="K245" s="11">
        <v>1</v>
      </c>
      <c r="L245" s="11">
        <v>0.5</v>
      </c>
    </row>
    <row r="246" spans="1:12">
      <c r="A246" s="3" t="s">
        <v>1269</v>
      </c>
      <c r="B246" s="3" t="s">
        <v>1745</v>
      </c>
      <c r="C246" s="3" t="s">
        <v>1727</v>
      </c>
      <c r="D246" s="7">
        <v>0.15</v>
      </c>
      <c r="E246" s="9">
        <v>5.5</v>
      </c>
      <c r="F246" s="9">
        <v>4.5</v>
      </c>
      <c r="G246" s="9">
        <v>5</v>
      </c>
      <c r="H246" s="9">
        <v>5</v>
      </c>
      <c r="I246" s="11">
        <v>4.5</v>
      </c>
      <c r="J246" s="11">
        <v>5.5</v>
      </c>
      <c r="K246" s="11">
        <v>1</v>
      </c>
      <c r="L246" s="11">
        <v>0.5</v>
      </c>
    </row>
    <row r="247" spans="1:12">
      <c r="A247" s="3" t="s">
        <v>1269</v>
      </c>
      <c r="B247" s="3" t="s">
        <v>1745</v>
      </c>
      <c r="C247" s="3" t="s">
        <v>1728</v>
      </c>
      <c r="D247" s="7">
        <v>0.15</v>
      </c>
      <c r="E247" s="9">
        <v>6</v>
      </c>
      <c r="F247" s="9">
        <v>5</v>
      </c>
      <c r="G247" s="9">
        <v>5.5</v>
      </c>
      <c r="H247" s="9">
        <v>5.5</v>
      </c>
      <c r="I247" s="11">
        <v>5</v>
      </c>
      <c r="J247" s="11">
        <v>6</v>
      </c>
      <c r="K247" s="11">
        <v>1</v>
      </c>
      <c r="L247" s="11">
        <v>0.5</v>
      </c>
    </row>
    <row r="248" spans="1:12">
      <c r="A248" s="3" t="s">
        <v>1269</v>
      </c>
      <c r="B248" s="3" t="s">
        <v>1745</v>
      </c>
      <c r="C248" s="3" t="s">
        <v>1729</v>
      </c>
      <c r="D248" s="7">
        <v>0.13</v>
      </c>
      <c r="E248" s="8">
        <v>8.5</v>
      </c>
      <c r="F248" s="8">
        <v>7.5</v>
      </c>
      <c r="G248" s="8">
        <v>8</v>
      </c>
      <c r="H248" s="8">
        <v>8</v>
      </c>
      <c r="I248" s="11">
        <v>7.5</v>
      </c>
      <c r="J248" s="11">
        <v>8.5</v>
      </c>
      <c r="K248" s="11">
        <v>1</v>
      </c>
      <c r="L248" s="11">
        <v>0.5</v>
      </c>
    </row>
    <row r="249" spans="1:12">
      <c r="A249" s="3" t="s">
        <v>1269</v>
      </c>
      <c r="B249" s="3" t="s">
        <v>1745</v>
      </c>
      <c r="C249" s="3" t="s">
        <v>1730</v>
      </c>
      <c r="D249" s="7">
        <v>0.12</v>
      </c>
      <c r="E249" s="9">
        <v>6</v>
      </c>
      <c r="F249" s="9">
        <v>5</v>
      </c>
      <c r="G249" s="9">
        <v>5.5</v>
      </c>
      <c r="H249" s="9">
        <v>5.5</v>
      </c>
      <c r="I249" s="11">
        <v>5</v>
      </c>
      <c r="J249" s="11">
        <v>6</v>
      </c>
      <c r="K249" s="11">
        <v>1</v>
      </c>
      <c r="L249" s="11">
        <v>0.5</v>
      </c>
    </row>
    <row r="250" spans="1:12">
      <c r="A250" s="3" t="s">
        <v>1269</v>
      </c>
      <c r="B250" s="3" t="s">
        <v>1745</v>
      </c>
      <c r="C250" s="3" t="s">
        <v>1731</v>
      </c>
      <c r="D250" s="7">
        <v>0.09</v>
      </c>
      <c r="E250" s="9">
        <v>6.5</v>
      </c>
      <c r="F250" s="9">
        <v>6</v>
      </c>
      <c r="G250" s="9">
        <v>6.5</v>
      </c>
      <c r="H250" s="9">
        <v>6.333333333333333</v>
      </c>
      <c r="I250" s="11">
        <v>6</v>
      </c>
      <c r="J250" s="11">
        <v>6.5</v>
      </c>
      <c r="K250" s="11">
        <v>0.5</v>
      </c>
      <c r="L250" s="11">
        <v>0.2886751345948129</v>
      </c>
    </row>
    <row r="251" spans="1:12">
      <c r="A251" s="2" t="s">
        <v>1269</v>
      </c>
      <c r="B251" s="2" t="s">
        <v>1745</v>
      </c>
      <c r="C251" s="2" t="s">
        <v>1732</v>
      </c>
      <c r="D251" s="2"/>
      <c r="E251" s="12">
        <v>6.22</v>
      </c>
      <c r="F251" s="12">
        <v>5.22</v>
      </c>
      <c r="G251" s="12">
        <v>5.72</v>
      </c>
      <c r="H251" s="12">
        <v>5.72</v>
      </c>
      <c r="I251" s="12">
        <v>5.22</v>
      </c>
      <c r="J251" s="12">
        <v>6.22</v>
      </c>
      <c r="K251" s="12">
        <v>1</v>
      </c>
      <c r="L251" s="12">
        <v>0.5</v>
      </c>
    </row>
    <row r="252" spans="1:12">
      <c r="A252" s="2" t="s">
        <v>1269</v>
      </c>
      <c r="B252" s="2" t="s">
        <v>1745</v>
      </c>
      <c r="C252" s="2" t="s">
        <v>1733</v>
      </c>
      <c r="D252" s="2"/>
      <c r="E252" s="12">
        <v>6.395</v>
      </c>
      <c r="F252" s="12">
        <v>5.44</v>
      </c>
      <c r="G252" s="12">
        <v>5.94</v>
      </c>
      <c r="H252" s="12">
        <v>5.925</v>
      </c>
      <c r="I252" s="12">
        <v>5.44</v>
      </c>
      <c r="J252" s="12">
        <v>6.395</v>
      </c>
      <c r="K252" s="12">
        <v>0.955</v>
      </c>
      <c r="L252" s="12">
        <v>0.478</v>
      </c>
    </row>
    <row r="253" spans="1:12">
      <c r="A253" s="2" t="s">
        <v>1269</v>
      </c>
      <c r="B253" s="2" t="s">
        <v>1745</v>
      </c>
      <c r="C253" s="2" t="s">
        <v>1734</v>
      </c>
      <c r="D253" s="2"/>
      <c r="E253" s="12">
        <v>6.272</v>
      </c>
      <c r="F253" s="12">
        <v>5.286</v>
      </c>
      <c r="G253" s="12">
        <v>5.786</v>
      </c>
      <c r="H253" s="12">
        <v>5.782</v>
      </c>
      <c r="I253" s="12">
        <v>5.286</v>
      </c>
      <c r="J253" s="12">
        <v>6.272</v>
      </c>
      <c r="K253" s="12">
        <v>0.986</v>
      </c>
      <c r="L253" s="12">
        <v>0.493</v>
      </c>
    </row>
    <row r="255" spans="1:12">
      <c r="A255" s="3" t="s">
        <v>905</v>
      </c>
      <c r="B255" s="3" t="s">
        <v>1746</v>
      </c>
      <c r="C255" s="3" t="s">
        <v>1718</v>
      </c>
      <c r="D255" s="7">
        <v>0.24</v>
      </c>
      <c r="E255" s="8">
        <v>7</v>
      </c>
      <c r="F255" s="9">
        <v>6</v>
      </c>
      <c r="G255" s="9">
        <v>6.5</v>
      </c>
      <c r="H255" s="9">
        <v>6.5</v>
      </c>
      <c r="I255" s="11">
        <v>6</v>
      </c>
      <c r="J255" s="11">
        <v>7</v>
      </c>
      <c r="K255" s="11">
        <v>1</v>
      </c>
      <c r="L255" s="11">
        <v>0.5</v>
      </c>
    </row>
    <row r="256" spans="1:12">
      <c r="A256" s="3" t="s">
        <v>905</v>
      </c>
      <c r="B256" s="3" t="s">
        <v>1746</v>
      </c>
      <c r="C256" s="3" t="s">
        <v>1719</v>
      </c>
      <c r="D256" s="7">
        <v>0.18</v>
      </c>
      <c r="E256" s="9">
        <v>5.5</v>
      </c>
      <c r="F256" s="10">
        <v>4</v>
      </c>
      <c r="G256" s="9">
        <v>4.5</v>
      </c>
      <c r="H256" s="9">
        <v>4.666666666666667</v>
      </c>
      <c r="I256" s="11">
        <v>4</v>
      </c>
      <c r="J256" s="11">
        <v>5.5</v>
      </c>
      <c r="K256" s="11">
        <v>1.5</v>
      </c>
      <c r="L256" s="11">
        <v>0.7637626158259734</v>
      </c>
    </row>
    <row r="257" spans="1:12">
      <c r="A257" s="3" t="s">
        <v>905</v>
      </c>
      <c r="B257" s="3" t="s">
        <v>1746</v>
      </c>
      <c r="C257" s="3" t="s">
        <v>1720</v>
      </c>
      <c r="D257" s="7">
        <v>0.15</v>
      </c>
      <c r="E257" s="9">
        <v>6.5</v>
      </c>
      <c r="F257" s="9">
        <v>4.5</v>
      </c>
      <c r="G257" s="9">
        <v>5</v>
      </c>
      <c r="H257" s="9">
        <v>5.333333333333333</v>
      </c>
      <c r="I257" s="11">
        <v>4.5</v>
      </c>
      <c r="J257" s="11">
        <v>6.5</v>
      </c>
      <c r="K257" s="11">
        <v>2</v>
      </c>
      <c r="L257" s="11">
        <v>1.040832999733066</v>
      </c>
    </row>
    <row r="258" spans="1:12">
      <c r="A258" s="3" t="s">
        <v>905</v>
      </c>
      <c r="B258" s="3" t="s">
        <v>1746</v>
      </c>
      <c r="C258" s="3" t="s">
        <v>1721</v>
      </c>
      <c r="D258" s="7">
        <v>0.13</v>
      </c>
      <c r="E258" s="9">
        <v>4.5</v>
      </c>
      <c r="F258" s="10">
        <v>3</v>
      </c>
      <c r="G258" s="10">
        <v>3.5</v>
      </c>
      <c r="H258" s="10">
        <v>3.666666666666667</v>
      </c>
      <c r="I258" s="11">
        <v>3</v>
      </c>
      <c r="J258" s="11">
        <v>4.5</v>
      </c>
      <c r="K258" s="11">
        <v>1.5</v>
      </c>
      <c r="L258" s="11">
        <v>0.7637626158259733</v>
      </c>
    </row>
    <row r="259" spans="1:12">
      <c r="A259" s="3" t="s">
        <v>905</v>
      </c>
      <c r="B259" s="3" t="s">
        <v>1746</v>
      </c>
      <c r="C259" s="3" t="s">
        <v>1722</v>
      </c>
      <c r="D259" s="7">
        <v>0.12</v>
      </c>
      <c r="E259" s="9">
        <v>5.5</v>
      </c>
      <c r="F259" s="9">
        <v>4.5</v>
      </c>
      <c r="G259" s="9">
        <v>5</v>
      </c>
      <c r="H259" s="9">
        <v>5</v>
      </c>
      <c r="I259" s="11">
        <v>4.5</v>
      </c>
      <c r="J259" s="11">
        <v>5.5</v>
      </c>
      <c r="K259" s="11">
        <v>1</v>
      </c>
      <c r="L259" s="11">
        <v>0.5</v>
      </c>
    </row>
    <row r="260" spans="1:12">
      <c r="A260" s="3" t="s">
        <v>905</v>
      </c>
      <c r="B260" s="3" t="s">
        <v>1746</v>
      </c>
      <c r="C260" s="3" t="s">
        <v>1723</v>
      </c>
      <c r="D260" s="7">
        <v>0.1</v>
      </c>
      <c r="E260" s="9">
        <v>6</v>
      </c>
      <c r="F260" s="9">
        <v>4.5</v>
      </c>
      <c r="G260" s="9">
        <v>5</v>
      </c>
      <c r="H260" s="9">
        <v>5.166666666666667</v>
      </c>
      <c r="I260" s="11">
        <v>4.5</v>
      </c>
      <c r="J260" s="11">
        <v>6</v>
      </c>
      <c r="K260" s="11">
        <v>1.5</v>
      </c>
      <c r="L260" s="11">
        <v>0.7637626158259734</v>
      </c>
    </row>
    <row r="261" spans="1:12">
      <c r="A261" s="3" t="s">
        <v>905</v>
      </c>
      <c r="B261" s="3" t="s">
        <v>1746</v>
      </c>
      <c r="C261" s="3" t="s">
        <v>1724</v>
      </c>
      <c r="D261" s="7">
        <v>0.08</v>
      </c>
      <c r="E261" s="9">
        <v>4.5</v>
      </c>
      <c r="F261" s="10">
        <v>3</v>
      </c>
      <c r="G261" s="10">
        <v>3.5</v>
      </c>
      <c r="H261" s="10">
        <v>3.666666666666667</v>
      </c>
      <c r="I261" s="11">
        <v>3</v>
      </c>
      <c r="J261" s="11">
        <v>4.5</v>
      </c>
      <c r="K261" s="11">
        <v>1.5</v>
      </c>
      <c r="L261" s="11">
        <v>0.7637626158259733</v>
      </c>
    </row>
    <row r="262" spans="1:12">
      <c r="A262" s="3" t="s">
        <v>905</v>
      </c>
      <c r="B262" s="3" t="s">
        <v>1746</v>
      </c>
      <c r="C262" s="3" t="s">
        <v>1725</v>
      </c>
      <c r="D262" s="7">
        <v>0.2</v>
      </c>
      <c r="E262" s="9">
        <v>6</v>
      </c>
      <c r="F262" s="9">
        <v>5</v>
      </c>
      <c r="G262" s="9">
        <v>5.5</v>
      </c>
      <c r="H262" s="9">
        <v>5.5</v>
      </c>
      <c r="I262" s="11">
        <v>5</v>
      </c>
      <c r="J262" s="11">
        <v>6</v>
      </c>
      <c r="K262" s="11">
        <v>1</v>
      </c>
      <c r="L262" s="11">
        <v>0.5</v>
      </c>
    </row>
    <row r="263" spans="1:12">
      <c r="A263" s="3" t="s">
        <v>905</v>
      </c>
      <c r="B263" s="3" t="s">
        <v>1746</v>
      </c>
      <c r="C263" s="3" t="s">
        <v>1726</v>
      </c>
      <c r="D263" s="7">
        <v>0.16</v>
      </c>
      <c r="E263" s="9">
        <v>6</v>
      </c>
      <c r="F263" s="9">
        <v>5</v>
      </c>
      <c r="G263" s="9">
        <v>5.5</v>
      </c>
      <c r="H263" s="9">
        <v>5.5</v>
      </c>
      <c r="I263" s="11">
        <v>5</v>
      </c>
      <c r="J263" s="11">
        <v>6</v>
      </c>
      <c r="K263" s="11">
        <v>1</v>
      </c>
      <c r="L263" s="11">
        <v>0.5</v>
      </c>
    </row>
    <row r="264" spans="1:12">
      <c r="A264" s="3" t="s">
        <v>905</v>
      </c>
      <c r="B264" s="3" t="s">
        <v>1746</v>
      </c>
      <c r="C264" s="3" t="s">
        <v>1727</v>
      </c>
      <c r="D264" s="7">
        <v>0.15</v>
      </c>
      <c r="E264" s="8">
        <v>7</v>
      </c>
      <c r="F264" s="9">
        <v>6.5</v>
      </c>
      <c r="G264" s="9">
        <v>6.5</v>
      </c>
      <c r="H264" s="9">
        <v>6.666666666666667</v>
      </c>
      <c r="I264" s="11">
        <v>6.5</v>
      </c>
      <c r="J264" s="11">
        <v>7</v>
      </c>
      <c r="K264" s="11">
        <v>0.5</v>
      </c>
      <c r="L264" s="11">
        <v>0.2886751345948129</v>
      </c>
    </row>
    <row r="265" spans="1:12">
      <c r="A265" s="3" t="s">
        <v>905</v>
      </c>
      <c r="B265" s="3" t="s">
        <v>1746</v>
      </c>
      <c r="C265" s="3" t="s">
        <v>1728</v>
      </c>
      <c r="D265" s="7">
        <v>0.15</v>
      </c>
      <c r="E265" s="8">
        <v>8</v>
      </c>
      <c r="F265" s="8">
        <v>7</v>
      </c>
      <c r="G265" s="8">
        <v>7.5</v>
      </c>
      <c r="H265" s="8">
        <v>7.5</v>
      </c>
      <c r="I265" s="11">
        <v>7</v>
      </c>
      <c r="J265" s="11">
        <v>8</v>
      </c>
      <c r="K265" s="11">
        <v>1</v>
      </c>
      <c r="L265" s="11">
        <v>0.5</v>
      </c>
    </row>
    <row r="266" spans="1:12">
      <c r="A266" s="3" t="s">
        <v>905</v>
      </c>
      <c r="B266" s="3" t="s">
        <v>1746</v>
      </c>
      <c r="C266" s="3" t="s">
        <v>1729</v>
      </c>
      <c r="D266" s="7">
        <v>0.13</v>
      </c>
      <c r="E266" s="8">
        <v>7.5</v>
      </c>
      <c r="F266" s="9">
        <v>6.5</v>
      </c>
      <c r="G266" s="8">
        <v>7</v>
      </c>
      <c r="H266" s="8">
        <v>7</v>
      </c>
      <c r="I266" s="11">
        <v>6.5</v>
      </c>
      <c r="J266" s="11">
        <v>7.5</v>
      </c>
      <c r="K266" s="11">
        <v>1</v>
      </c>
      <c r="L266" s="11">
        <v>0.5</v>
      </c>
    </row>
    <row r="267" spans="1:12">
      <c r="A267" s="3" t="s">
        <v>905</v>
      </c>
      <c r="B267" s="3" t="s">
        <v>1746</v>
      </c>
      <c r="C267" s="3" t="s">
        <v>1730</v>
      </c>
      <c r="D267" s="7">
        <v>0.12</v>
      </c>
      <c r="E267" s="8">
        <v>7</v>
      </c>
      <c r="F267" s="9">
        <v>6</v>
      </c>
      <c r="G267" s="9">
        <v>6.5</v>
      </c>
      <c r="H267" s="9">
        <v>6.5</v>
      </c>
      <c r="I267" s="11">
        <v>6</v>
      </c>
      <c r="J267" s="11">
        <v>7</v>
      </c>
      <c r="K267" s="11">
        <v>1</v>
      </c>
      <c r="L267" s="11">
        <v>0.5</v>
      </c>
    </row>
    <row r="268" spans="1:12">
      <c r="A268" s="3" t="s">
        <v>905</v>
      </c>
      <c r="B268" s="3" t="s">
        <v>1746</v>
      </c>
      <c r="C268" s="3" t="s">
        <v>1731</v>
      </c>
      <c r="D268" s="7">
        <v>0.09</v>
      </c>
      <c r="E268" s="8">
        <v>7</v>
      </c>
      <c r="F268" s="9">
        <v>6.5</v>
      </c>
      <c r="G268" s="8">
        <v>7</v>
      </c>
      <c r="H268" s="8">
        <v>6.833333333333333</v>
      </c>
      <c r="I268" s="11">
        <v>6.5</v>
      </c>
      <c r="J268" s="11">
        <v>7</v>
      </c>
      <c r="K268" s="11">
        <v>0.5</v>
      </c>
      <c r="L268" s="11">
        <v>0.2886751345948129</v>
      </c>
    </row>
    <row r="269" spans="1:12">
      <c r="A269" s="2" t="s">
        <v>905</v>
      </c>
      <c r="B269" s="2" t="s">
        <v>1746</v>
      </c>
      <c r="C269" s="2" t="s">
        <v>1732</v>
      </c>
      <c r="D269" s="2"/>
      <c r="E269" s="12">
        <v>5.85</v>
      </c>
      <c r="F269" s="12">
        <v>4.455</v>
      </c>
      <c r="G269" s="12">
        <v>4.955</v>
      </c>
      <c r="H269" s="12">
        <v>5.087</v>
      </c>
      <c r="I269" s="12">
        <v>4.455</v>
      </c>
      <c r="J269" s="12">
        <v>5.85</v>
      </c>
      <c r="K269" s="12">
        <v>1.395</v>
      </c>
      <c r="L269" s="12">
        <v>0.707</v>
      </c>
    </row>
    <row r="270" spans="1:12">
      <c r="A270" s="2" t="s">
        <v>905</v>
      </c>
      <c r="B270" s="2" t="s">
        <v>1746</v>
      </c>
      <c r="C270" s="2" t="s">
        <v>1733</v>
      </c>
      <c r="D270" s="2"/>
      <c r="E270" s="12">
        <v>6.855</v>
      </c>
      <c r="F270" s="12">
        <v>5.975</v>
      </c>
      <c r="G270" s="12">
        <v>6.4</v>
      </c>
      <c r="H270" s="12">
        <v>6.41</v>
      </c>
      <c r="I270" s="12">
        <v>5.975</v>
      </c>
      <c r="J270" s="12">
        <v>6.855</v>
      </c>
      <c r="K270" s="12">
        <v>0.88</v>
      </c>
      <c r="L270" s="12">
        <v>0.44</v>
      </c>
    </row>
    <row r="271" spans="1:12">
      <c r="A271" s="2" t="s">
        <v>905</v>
      </c>
      <c r="B271" s="2" t="s">
        <v>1746</v>
      </c>
      <c r="C271" s="2" t="s">
        <v>1734</v>
      </c>
      <c r="D271" s="2"/>
      <c r="E271" s="12">
        <v>6.151</v>
      </c>
      <c r="F271" s="12">
        <v>4.911</v>
      </c>
      <c r="G271" s="12">
        <v>5.388</v>
      </c>
      <c r="H271" s="12">
        <v>5.484</v>
      </c>
      <c r="I271" s="12">
        <v>4.911</v>
      </c>
      <c r="J271" s="12">
        <v>6.151</v>
      </c>
      <c r="K271" s="12">
        <v>1.24</v>
      </c>
      <c r="L271" s="12">
        <v>0.626</v>
      </c>
    </row>
    <row r="273" spans="1:12">
      <c r="A273" s="3" t="s">
        <v>1374</v>
      </c>
      <c r="B273" s="3" t="s">
        <v>1747</v>
      </c>
      <c r="C273" s="3" t="s">
        <v>1718</v>
      </c>
      <c r="D273" s="7">
        <v>0.24</v>
      </c>
      <c r="E273" s="9">
        <v>6.5</v>
      </c>
      <c r="F273" s="9">
        <v>5.5</v>
      </c>
      <c r="G273" s="9">
        <v>6</v>
      </c>
      <c r="H273" s="9">
        <v>6</v>
      </c>
      <c r="I273" s="11">
        <v>5.5</v>
      </c>
      <c r="J273" s="11">
        <v>6.5</v>
      </c>
      <c r="K273" s="11">
        <v>1</v>
      </c>
      <c r="L273" s="11">
        <v>0.5</v>
      </c>
    </row>
    <row r="274" spans="1:12">
      <c r="A274" s="3" t="s">
        <v>1374</v>
      </c>
      <c r="B274" s="3" t="s">
        <v>1747</v>
      </c>
      <c r="C274" s="3" t="s">
        <v>1719</v>
      </c>
      <c r="D274" s="7">
        <v>0.18</v>
      </c>
      <c r="E274" s="9">
        <v>5.5</v>
      </c>
      <c r="F274" s="9">
        <v>4.5</v>
      </c>
      <c r="G274" s="9">
        <v>5</v>
      </c>
      <c r="H274" s="9">
        <v>5</v>
      </c>
      <c r="I274" s="11">
        <v>4.5</v>
      </c>
      <c r="J274" s="11">
        <v>5.5</v>
      </c>
      <c r="K274" s="11">
        <v>1</v>
      </c>
      <c r="L274" s="11">
        <v>0.5</v>
      </c>
    </row>
    <row r="275" spans="1:12">
      <c r="A275" s="3" t="s">
        <v>1374</v>
      </c>
      <c r="B275" s="3" t="s">
        <v>1747</v>
      </c>
      <c r="C275" s="3" t="s">
        <v>1720</v>
      </c>
      <c r="D275" s="7">
        <v>0.15</v>
      </c>
      <c r="E275" s="9">
        <v>4.5</v>
      </c>
      <c r="F275" s="10">
        <v>3</v>
      </c>
      <c r="G275" s="10">
        <v>3.5</v>
      </c>
      <c r="H275" s="10">
        <v>3.666666666666667</v>
      </c>
      <c r="I275" s="11">
        <v>3</v>
      </c>
      <c r="J275" s="11">
        <v>4.5</v>
      </c>
      <c r="K275" s="11">
        <v>1.5</v>
      </c>
      <c r="L275" s="11">
        <v>0.7637626158259733</v>
      </c>
    </row>
    <row r="276" spans="1:12">
      <c r="A276" s="3" t="s">
        <v>1374</v>
      </c>
      <c r="B276" s="3" t="s">
        <v>1747</v>
      </c>
      <c r="C276" s="3" t="s">
        <v>1721</v>
      </c>
      <c r="D276" s="7">
        <v>0.13</v>
      </c>
      <c r="E276" s="9">
        <v>4.5</v>
      </c>
      <c r="F276" s="10">
        <v>3.5</v>
      </c>
      <c r="G276" s="10">
        <v>4</v>
      </c>
      <c r="H276" s="10">
        <v>4</v>
      </c>
      <c r="I276" s="11">
        <v>3.5</v>
      </c>
      <c r="J276" s="11">
        <v>4.5</v>
      </c>
      <c r="K276" s="11">
        <v>1</v>
      </c>
      <c r="L276" s="11">
        <v>0.5</v>
      </c>
    </row>
    <row r="277" spans="1:12">
      <c r="A277" s="3" t="s">
        <v>1374</v>
      </c>
      <c r="B277" s="3" t="s">
        <v>1747</v>
      </c>
      <c r="C277" s="3" t="s">
        <v>1722</v>
      </c>
      <c r="D277" s="7">
        <v>0.12</v>
      </c>
      <c r="E277" s="9">
        <v>5.5</v>
      </c>
      <c r="F277" s="9">
        <v>4.5</v>
      </c>
      <c r="G277" s="9">
        <v>5</v>
      </c>
      <c r="H277" s="9">
        <v>5</v>
      </c>
      <c r="I277" s="11">
        <v>4.5</v>
      </c>
      <c r="J277" s="11">
        <v>5.5</v>
      </c>
      <c r="K277" s="11">
        <v>1</v>
      </c>
      <c r="L277" s="11">
        <v>0.5</v>
      </c>
    </row>
    <row r="278" spans="1:12">
      <c r="A278" s="3" t="s">
        <v>1374</v>
      </c>
      <c r="B278" s="3" t="s">
        <v>1747</v>
      </c>
      <c r="C278" s="3" t="s">
        <v>1723</v>
      </c>
      <c r="D278" s="7">
        <v>0.1</v>
      </c>
      <c r="E278" s="9">
        <v>6.5</v>
      </c>
      <c r="F278" s="9">
        <v>5.5</v>
      </c>
      <c r="G278" s="9">
        <v>6</v>
      </c>
      <c r="H278" s="9">
        <v>6</v>
      </c>
      <c r="I278" s="11">
        <v>5.5</v>
      </c>
      <c r="J278" s="11">
        <v>6.5</v>
      </c>
      <c r="K278" s="11">
        <v>1</v>
      </c>
      <c r="L278" s="11">
        <v>0.5</v>
      </c>
    </row>
    <row r="279" spans="1:12">
      <c r="A279" s="3" t="s">
        <v>1374</v>
      </c>
      <c r="B279" s="3" t="s">
        <v>1747</v>
      </c>
      <c r="C279" s="3" t="s">
        <v>1724</v>
      </c>
      <c r="D279" s="7">
        <v>0.08</v>
      </c>
      <c r="E279" s="9">
        <v>4.5</v>
      </c>
      <c r="F279" s="10">
        <v>3.5</v>
      </c>
      <c r="G279" s="10">
        <v>4</v>
      </c>
      <c r="H279" s="10">
        <v>4</v>
      </c>
      <c r="I279" s="11">
        <v>3.5</v>
      </c>
      <c r="J279" s="11">
        <v>4.5</v>
      </c>
      <c r="K279" s="11">
        <v>1</v>
      </c>
      <c r="L279" s="11">
        <v>0.5</v>
      </c>
    </row>
    <row r="280" spans="1:12">
      <c r="A280" s="3" t="s">
        <v>1374</v>
      </c>
      <c r="B280" s="3" t="s">
        <v>1747</v>
      </c>
      <c r="C280" s="3" t="s">
        <v>1725</v>
      </c>
      <c r="D280" s="7">
        <v>0.2</v>
      </c>
      <c r="E280" s="8">
        <v>7.5</v>
      </c>
      <c r="F280" s="9">
        <v>6.5</v>
      </c>
      <c r="G280" s="8">
        <v>7</v>
      </c>
      <c r="H280" s="8">
        <v>7</v>
      </c>
      <c r="I280" s="11">
        <v>6.5</v>
      </c>
      <c r="J280" s="11">
        <v>7.5</v>
      </c>
      <c r="K280" s="11">
        <v>1</v>
      </c>
      <c r="L280" s="11">
        <v>0.5</v>
      </c>
    </row>
    <row r="281" spans="1:12">
      <c r="A281" s="3" t="s">
        <v>1374</v>
      </c>
      <c r="B281" s="3" t="s">
        <v>1747</v>
      </c>
      <c r="C281" s="3" t="s">
        <v>1726</v>
      </c>
      <c r="D281" s="7">
        <v>0.16</v>
      </c>
      <c r="E281" s="8">
        <v>7</v>
      </c>
      <c r="F281" s="9">
        <v>6</v>
      </c>
      <c r="G281" s="9">
        <v>6.5</v>
      </c>
      <c r="H281" s="9">
        <v>6.5</v>
      </c>
      <c r="I281" s="11">
        <v>6</v>
      </c>
      <c r="J281" s="11">
        <v>7</v>
      </c>
      <c r="K281" s="11">
        <v>1</v>
      </c>
      <c r="L281" s="11">
        <v>0.5</v>
      </c>
    </row>
    <row r="282" spans="1:12">
      <c r="A282" s="3" t="s">
        <v>1374</v>
      </c>
      <c r="B282" s="3" t="s">
        <v>1747</v>
      </c>
      <c r="C282" s="3" t="s">
        <v>1727</v>
      </c>
      <c r="D282" s="7">
        <v>0.15</v>
      </c>
      <c r="E282" s="8">
        <v>9.5</v>
      </c>
      <c r="F282" s="8">
        <v>9</v>
      </c>
      <c r="G282" s="8">
        <v>9</v>
      </c>
      <c r="H282" s="8">
        <v>9.166666666666666</v>
      </c>
      <c r="I282" s="11">
        <v>9</v>
      </c>
      <c r="J282" s="11">
        <v>9.5</v>
      </c>
      <c r="K282" s="11">
        <v>0.5</v>
      </c>
      <c r="L282" s="11">
        <v>0.2886751345948129</v>
      </c>
    </row>
    <row r="283" spans="1:12">
      <c r="A283" s="3" t="s">
        <v>1374</v>
      </c>
      <c r="B283" s="3" t="s">
        <v>1747</v>
      </c>
      <c r="C283" s="3" t="s">
        <v>1728</v>
      </c>
      <c r="D283" s="7">
        <v>0.15</v>
      </c>
      <c r="E283" s="8">
        <v>7.5</v>
      </c>
      <c r="F283" s="9">
        <v>6.5</v>
      </c>
      <c r="G283" s="8">
        <v>7</v>
      </c>
      <c r="H283" s="8">
        <v>7</v>
      </c>
      <c r="I283" s="11">
        <v>6.5</v>
      </c>
      <c r="J283" s="11">
        <v>7.5</v>
      </c>
      <c r="K283" s="11">
        <v>1</v>
      </c>
      <c r="L283" s="11">
        <v>0.5</v>
      </c>
    </row>
    <row r="284" spans="1:12">
      <c r="A284" s="3" t="s">
        <v>1374</v>
      </c>
      <c r="B284" s="3" t="s">
        <v>1747</v>
      </c>
      <c r="C284" s="3" t="s">
        <v>1729</v>
      </c>
      <c r="D284" s="7">
        <v>0.13</v>
      </c>
      <c r="E284" s="9">
        <v>4.5</v>
      </c>
      <c r="F284" s="10">
        <v>3.5</v>
      </c>
      <c r="G284" s="10">
        <v>4</v>
      </c>
      <c r="H284" s="10">
        <v>4</v>
      </c>
      <c r="I284" s="11">
        <v>3.5</v>
      </c>
      <c r="J284" s="11">
        <v>4.5</v>
      </c>
      <c r="K284" s="11">
        <v>1</v>
      </c>
      <c r="L284" s="11">
        <v>0.5</v>
      </c>
    </row>
    <row r="285" spans="1:12">
      <c r="A285" s="3" t="s">
        <v>1374</v>
      </c>
      <c r="B285" s="3" t="s">
        <v>1747</v>
      </c>
      <c r="C285" s="3" t="s">
        <v>1730</v>
      </c>
      <c r="D285" s="7">
        <v>0.12</v>
      </c>
      <c r="E285" s="9">
        <v>6.5</v>
      </c>
      <c r="F285" s="9">
        <v>5.5</v>
      </c>
      <c r="G285" s="9">
        <v>6</v>
      </c>
      <c r="H285" s="9">
        <v>6</v>
      </c>
      <c r="I285" s="11">
        <v>5.5</v>
      </c>
      <c r="J285" s="11">
        <v>6.5</v>
      </c>
      <c r="K285" s="11">
        <v>1</v>
      </c>
      <c r="L285" s="11">
        <v>0.5</v>
      </c>
    </row>
    <row r="286" spans="1:12">
      <c r="A286" s="3" t="s">
        <v>1374</v>
      </c>
      <c r="B286" s="3" t="s">
        <v>1747</v>
      </c>
      <c r="C286" s="3" t="s">
        <v>1731</v>
      </c>
      <c r="D286" s="7">
        <v>0.09</v>
      </c>
      <c r="E286" s="8">
        <v>7</v>
      </c>
      <c r="F286" s="9">
        <v>6.5</v>
      </c>
      <c r="G286" s="8">
        <v>7</v>
      </c>
      <c r="H286" s="8">
        <v>6.833333333333333</v>
      </c>
      <c r="I286" s="11">
        <v>6.5</v>
      </c>
      <c r="J286" s="11">
        <v>7</v>
      </c>
      <c r="K286" s="11">
        <v>0.5</v>
      </c>
      <c r="L286" s="11">
        <v>0.2886751345948129</v>
      </c>
    </row>
    <row r="287" spans="1:12">
      <c r="A287" s="2" t="s">
        <v>1374</v>
      </c>
      <c r="B287" s="2" t="s">
        <v>1747</v>
      </c>
      <c r="C287" s="2" t="s">
        <v>1732</v>
      </c>
      <c r="D287" s="2"/>
      <c r="E287" s="12">
        <v>5.48</v>
      </c>
      <c r="F287" s="12">
        <v>4.405</v>
      </c>
      <c r="G287" s="12">
        <v>4.905</v>
      </c>
      <c r="H287" s="12">
        <v>4.93</v>
      </c>
      <c r="I287" s="12">
        <v>4.405</v>
      </c>
      <c r="J287" s="12">
        <v>5.48</v>
      </c>
      <c r="K287" s="12">
        <v>1.075</v>
      </c>
      <c r="L287" s="12">
        <v>0.538</v>
      </c>
    </row>
    <row r="288" spans="1:12">
      <c r="A288" s="2" t="s">
        <v>1374</v>
      </c>
      <c r="B288" s="2" t="s">
        <v>1747</v>
      </c>
      <c r="C288" s="2" t="s">
        <v>1733</v>
      </c>
      <c r="D288" s="2"/>
      <c r="E288" s="12">
        <v>7.165</v>
      </c>
      <c r="F288" s="12">
        <v>6.285</v>
      </c>
      <c r="G288" s="12">
        <v>6.71</v>
      </c>
      <c r="H288" s="12">
        <v>6.72</v>
      </c>
      <c r="I288" s="12">
        <v>6.285</v>
      </c>
      <c r="J288" s="12">
        <v>7.165</v>
      </c>
      <c r="K288" s="12">
        <v>0.88</v>
      </c>
      <c r="L288" s="12">
        <v>0.44</v>
      </c>
    </row>
    <row r="289" spans="1:12">
      <c r="A289" s="2" t="s">
        <v>1374</v>
      </c>
      <c r="B289" s="2" t="s">
        <v>1747</v>
      </c>
      <c r="C289" s="2" t="s">
        <v>1734</v>
      </c>
      <c r="D289" s="2"/>
      <c r="E289" s="12">
        <v>5.986</v>
      </c>
      <c r="F289" s="12">
        <v>4.969</v>
      </c>
      <c r="G289" s="12">
        <v>5.446</v>
      </c>
      <c r="H289" s="12">
        <v>5.467</v>
      </c>
      <c r="I289" s="12">
        <v>4.969</v>
      </c>
      <c r="J289" s="12">
        <v>5.986</v>
      </c>
      <c r="K289" s="12">
        <v>1.017</v>
      </c>
      <c r="L289" s="12">
        <v>0.509</v>
      </c>
    </row>
    <row r="291" spans="1:12">
      <c r="A291" s="3" t="s">
        <v>1239</v>
      </c>
      <c r="B291" s="3" t="s">
        <v>1748</v>
      </c>
      <c r="C291" s="3" t="s">
        <v>1718</v>
      </c>
      <c r="D291" s="7">
        <v>0.24</v>
      </c>
      <c r="E291" s="8">
        <v>7</v>
      </c>
      <c r="F291" s="9">
        <v>6</v>
      </c>
      <c r="G291" s="9">
        <v>6.5</v>
      </c>
      <c r="H291" s="9">
        <v>6.5</v>
      </c>
      <c r="I291" s="11">
        <v>6</v>
      </c>
      <c r="J291" s="11">
        <v>7</v>
      </c>
      <c r="K291" s="11">
        <v>1</v>
      </c>
      <c r="L291" s="11">
        <v>0.5</v>
      </c>
    </row>
    <row r="292" spans="1:12">
      <c r="A292" s="3" t="s">
        <v>1239</v>
      </c>
      <c r="B292" s="3" t="s">
        <v>1748</v>
      </c>
      <c r="C292" s="3" t="s">
        <v>1719</v>
      </c>
      <c r="D292" s="7">
        <v>0.18</v>
      </c>
      <c r="E292" s="9">
        <v>5</v>
      </c>
      <c r="F292" s="10">
        <v>4</v>
      </c>
      <c r="G292" s="9">
        <v>4.5</v>
      </c>
      <c r="H292" s="9">
        <v>4.5</v>
      </c>
      <c r="I292" s="11">
        <v>4</v>
      </c>
      <c r="J292" s="11">
        <v>5</v>
      </c>
      <c r="K292" s="11">
        <v>1</v>
      </c>
      <c r="L292" s="11">
        <v>0.5</v>
      </c>
    </row>
    <row r="293" spans="1:12">
      <c r="A293" s="3" t="s">
        <v>1239</v>
      </c>
      <c r="B293" s="3" t="s">
        <v>1748</v>
      </c>
      <c r="C293" s="3" t="s">
        <v>1720</v>
      </c>
      <c r="D293" s="7">
        <v>0.15</v>
      </c>
      <c r="E293" s="9">
        <v>5.5</v>
      </c>
      <c r="F293" s="10">
        <v>4</v>
      </c>
      <c r="G293" s="9">
        <v>4.5</v>
      </c>
      <c r="H293" s="9">
        <v>4.666666666666667</v>
      </c>
      <c r="I293" s="11">
        <v>4</v>
      </c>
      <c r="J293" s="11">
        <v>5.5</v>
      </c>
      <c r="K293" s="11">
        <v>1.5</v>
      </c>
      <c r="L293" s="11">
        <v>0.7637626158259734</v>
      </c>
    </row>
    <row r="294" spans="1:12">
      <c r="A294" s="3" t="s">
        <v>1239</v>
      </c>
      <c r="B294" s="3" t="s">
        <v>1748</v>
      </c>
      <c r="C294" s="3" t="s">
        <v>1721</v>
      </c>
      <c r="D294" s="7">
        <v>0.13</v>
      </c>
      <c r="E294" s="9">
        <v>5</v>
      </c>
      <c r="F294" s="10">
        <v>4</v>
      </c>
      <c r="G294" s="9">
        <v>4.5</v>
      </c>
      <c r="H294" s="9">
        <v>4.5</v>
      </c>
      <c r="I294" s="11">
        <v>4</v>
      </c>
      <c r="J294" s="11">
        <v>5</v>
      </c>
      <c r="K294" s="11">
        <v>1</v>
      </c>
      <c r="L294" s="11">
        <v>0.5</v>
      </c>
    </row>
    <row r="295" spans="1:12">
      <c r="A295" s="3" t="s">
        <v>1239</v>
      </c>
      <c r="B295" s="3" t="s">
        <v>1748</v>
      </c>
      <c r="C295" s="3" t="s">
        <v>1722</v>
      </c>
      <c r="D295" s="7">
        <v>0.12</v>
      </c>
      <c r="E295" s="9">
        <v>6</v>
      </c>
      <c r="F295" s="9">
        <v>5</v>
      </c>
      <c r="G295" s="9">
        <v>5.5</v>
      </c>
      <c r="H295" s="9">
        <v>5.5</v>
      </c>
      <c r="I295" s="11">
        <v>5</v>
      </c>
      <c r="J295" s="11">
        <v>6</v>
      </c>
      <c r="K295" s="11">
        <v>1</v>
      </c>
      <c r="L295" s="11">
        <v>0.5</v>
      </c>
    </row>
    <row r="296" spans="1:12">
      <c r="A296" s="3" t="s">
        <v>1239</v>
      </c>
      <c r="B296" s="3" t="s">
        <v>1748</v>
      </c>
      <c r="C296" s="3" t="s">
        <v>1723</v>
      </c>
      <c r="D296" s="7">
        <v>0.1</v>
      </c>
      <c r="E296" s="9">
        <v>6.5</v>
      </c>
      <c r="F296" s="9">
        <v>5.5</v>
      </c>
      <c r="G296" s="9">
        <v>6</v>
      </c>
      <c r="H296" s="9">
        <v>6</v>
      </c>
      <c r="I296" s="11">
        <v>5.5</v>
      </c>
      <c r="J296" s="11">
        <v>6.5</v>
      </c>
      <c r="K296" s="11">
        <v>1</v>
      </c>
      <c r="L296" s="11">
        <v>0.5</v>
      </c>
    </row>
    <row r="297" spans="1:12">
      <c r="A297" s="3" t="s">
        <v>1239</v>
      </c>
      <c r="B297" s="3" t="s">
        <v>1748</v>
      </c>
      <c r="C297" s="3" t="s">
        <v>1724</v>
      </c>
      <c r="D297" s="7">
        <v>0.08</v>
      </c>
      <c r="E297" s="9">
        <v>4.5</v>
      </c>
      <c r="F297" s="10">
        <v>3.5</v>
      </c>
      <c r="G297" s="10">
        <v>4</v>
      </c>
      <c r="H297" s="10">
        <v>4</v>
      </c>
      <c r="I297" s="11">
        <v>3.5</v>
      </c>
      <c r="J297" s="11">
        <v>4.5</v>
      </c>
      <c r="K297" s="11">
        <v>1</v>
      </c>
      <c r="L297" s="11">
        <v>0.5</v>
      </c>
    </row>
    <row r="298" spans="1:12">
      <c r="A298" s="3" t="s">
        <v>1239</v>
      </c>
      <c r="B298" s="3" t="s">
        <v>1748</v>
      </c>
      <c r="C298" s="3" t="s">
        <v>1725</v>
      </c>
      <c r="D298" s="7">
        <v>0.2</v>
      </c>
      <c r="E298" s="9">
        <v>6.5</v>
      </c>
      <c r="F298" s="9">
        <v>5.5</v>
      </c>
      <c r="G298" s="9">
        <v>6</v>
      </c>
      <c r="H298" s="9">
        <v>6</v>
      </c>
      <c r="I298" s="11">
        <v>5.5</v>
      </c>
      <c r="J298" s="11">
        <v>6.5</v>
      </c>
      <c r="K298" s="11">
        <v>1</v>
      </c>
      <c r="L298" s="11">
        <v>0.5</v>
      </c>
    </row>
    <row r="299" spans="1:12">
      <c r="A299" s="3" t="s">
        <v>1239</v>
      </c>
      <c r="B299" s="3" t="s">
        <v>1748</v>
      </c>
      <c r="C299" s="3" t="s">
        <v>1726</v>
      </c>
      <c r="D299" s="7">
        <v>0.16</v>
      </c>
      <c r="E299" s="9">
        <v>6</v>
      </c>
      <c r="F299" s="9">
        <v>5</v>
      </c>
      <c r="G299" s="9">
        <v>5.5</v>
      </c>
      <c r="H299" s="9">
        <v>5.5</v>
      </c>
      <c r="I299" s="11">
        <v>5</v>
      </c>
      <c r="J299" s="11">
        <v>6</v>
      </c>
      <c r="K299" s="11">
        <v>1</v>
      </c>
      <c r="L299" s="11">
        <v>0.5</v>
      </c>
    </row>
    <row r="300" spans="1:12">
      <c r="A300" s="3" t="s">
        <v>1239</v>
      </c>
      <c r="B300" s="3" t="s">
        <v>1748</v>
      </c>
      <c r="C300" s="3" t="s">
        <v>1727</v>
      </c>
      <c r="D300" s="7">
        <v>0.15</v>
      </c>
      <c r="E300" s="9">
        <v>5.5</v>
      </c>
      <c r="F300" s="9">
        <v>4.5</v>
      </c>
      <c r="G300" s="9">
        <v>5</v>
      </c>
      <c r="H300" s="9">
        <v>5</v>
      </c>
      <c r="I300" s="11">
        <v>4.5</v>
      </c>
      <c r="J300" s="11">
        <v>5.5</v>
      </c>
      <c r="K300" s="11">
        <v>1</v>
      </c>
      <c r="L300" s="11">
        <v>0.5</v>
      </c>
    </row>
    <row r="301" spans="1:12">
      <c r="A301" s="3" t="s">
        <v>1239</v>
      </c>
      <c r="B301" s="3" t="s">
        <v>1748</v>
      </c>
      <c r="C301" s="3" t="s">
        <v>1728</v>
      </c>
      <c r="D301" s="7">
        <v>0.15</v>
      </c>
      <c r="E301" s="9">
        <v>6</v>
      </c>
      <c r="F301" s="9">
        <v>5</v>
      </c>
      <c r="G301" s="9">
        <v>5.5</v>
      </c>
      <c r="H301" s="9">
        <v>5.5</v>
      </c>
      <c r="I301" s="11">
        <v>5</v>
      </c>
      <c r="J301" s="11">
        <v>6</v>
      </c>
      <c r="K301" s="11">
        <v>1</v>
      </c>
      <c r="L301" s="11">
        <v>0.5</v>
      </c>
    </row>
    <row r="302" spans="1:12">
      <c r="A302" s="3" t="s">
        <v>1239</v>
      </c>
      <c r="B302" s="3" t="s">
        <v>1748</v>
      </c>
      <c r="C302" s="3" t="s">
        <v>1729</v>
      </c>
      <c r="D302" s="7">
        <v>0.13</v>
      </c>
      <c r="E302" s="8">
        <v>9</v>
      </c>
      <c r="F302" s="8">
        <v>8</v>
      </c>
      <c r="G302" s="8">
        <v>8.5</v>
      </c>
      <c r="H302" s="8">
        <v>8.5</v>
      </c>
      <c r="I302" s="11">
        <v>8</v>
      </c>
      <c r="J302" s="11">
        <v>9</v>
      </c>
      <c r="K302" s="11">
        <v>1</v>
      </c>
      <c r="L302" s="11">
        <v>0.5</v>
      </c>
    </row>
    <row r="303" spans="1:12">
      <c r="A303" s="3" t="s">
        <v>1239</v>
      </c>
      <c r="B303" s="3" t="s">
        <v>1748</v>
      </c>
      <c r="C303" s="3" t="s">
        <v>1730</v>
      </c>
      <c r="D303" s="7">
        <v>0.12</v>
      </c>
      <c r="E303" s="9">
        <v>6</v>
      </c>
      <c r="F303" s="9">
        <v>5</v>
      </c>
      <c r="G303" s="9">
        <v>5.5</v>
      </c>
      <c r="H303" s="9">
        <v>5.5</v>
      </c>
      <c r="I303" s="11">
        <v>5</v>
      </c>
      <c r="J303" s="11">
        <v>6</v>
      </c>
      <c r="K303" s="11">
        <v>1</v>
      </c>
      <c r="L303" s="11">
        <v>0.5</v>
      </c>
    </row>
    <row r="304" spans="1:12">
      <c r="A304" s="3" t="s">
        <v>1239</v>
      </c>
      <c r="B304" s="3" t="s">
        <v>1748</v>
      </c>
      <c r="C304" s="3" t="s">
        <v>1731</v>
      </c>
      <c r="D304" s="7">
        <v>0.09</v>
      </c>
      <c r="E304" s="9">
        <v>6.5</v>
      </c>
      <c r="F304" s="9">
        <v>6</v>
      </c>
      <c r="G304" s="9">
        <v>6.5</v>
      </c>
      <c r="H304" s="9">
        <v>6.333333333333333</v>
      </c>
      <c r="I304" s="11">
        <v>6</v>
      </c>
      <c r="J304" s="11">
        <v>6.5</v>
      </c>
      <c r="K304" s="11">
        <v>0.5</v>
      </c>
      <c r="L304" s="11">
        <v>0.2886751345948129</v>
      </c>
    </row>
    <row r="305" spans="1:12">
      <c r="A305" s="2" t="s">
        <v>1239</v>
      </c>
      <c r="B305" s="2" t="s">
        <v>1748</v>
      </c>
      <c r="C305" s="2" t="s">
        <v>1732</v>
      </c>
      <c r="D305" s="2"/>
      <c r="E305" s="12">
        <v>5.785</v>
      </c>
      <c r="F305" s="12">
        <v>4.71</v>
      </c>
      <c r="G305" s="12">
        <v>5.21</v>
      </c>
      <c r="H305" s="12">
        <v>5.235</v>
      </c>
      <c r="I305" s="12">
        <v>4.71</v>
      </c>
      <c r="J305" s="12">
        <v>5.785</v>
      </c>
      <c r="K305" s="12">
        <v>1.075</v>
      </c>
      <c r="L305" s="12">
        <v>0.538</v>
      </c>
    </row>
    <row r="306" spans="1:12">
      <c r="A306" s="2" t="s">
        <v>1239</v>
      </c>
      <c r="B306" s="2" t="s">
        <v>1748</v>
      </c>
      <c r="C306" s="2" t="s">
        <v>1733</v>
      </c>
      <c r="D306" s="2"/>
      <c r="E306" s="12">
        <v>6.46</v>
      </c>
      <c r="F306" s="12">
        <v>5.505</v>
      </c>
      <c r="G306" s="12">
        <v>6.005</v>
      </c>
      <c r="H306" s="12">
        <v>5.99</v>
      </c>
      <c r="I306" s="12">
        <v>5.505</v>
      </c>
      <c r="J306" s="12">
        <v>6.46</v>
      </c>
      <c r="K306" s="12">
        <v>0.955</v>
      </c>
      <c r="L306" s="12">
        <v>0.478</v>
      </c>
    </row>
    <row r="307" spans="1:12">
      <c r="A307" s="2" t="s">
        <v>1239</v>
      </c>
      <c r="B307" s="2" t="s">
        <v>1748</v>
      </c>
      <c r="C307" s="2" t="s">
        <v>1734</v>
      </c>
      <c r="D307" s="2"/>
      <c r="E307" s="12">
        <v>5.987</v>
      </c>
      <c r="F307" s="12">
        <v>4.949</v>
      </c>
      <c r="G307" s="12">
        <v>5.449</v>
      </c>
      <c r="H307" s="12">
        <v>5.462</v>
      </c>
      <c r="I307" s="12">
        <v>4.949</v>
      </c>
      <c r="J307" s="12">
        <v>5.987</v>
      </c>
      <c r="K307" s="12">
        <v>1.039</v>
      </c>
      <c r="L307" s="12">
        <v>0.52</v>
      </c>
    </row>
  </sheetData>
  <autoFilter ref="A2:L308"/>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27"/>
  <sheetViews>
    <sheetView workbookViewId="0">
      <pane ySplit="1" topLeftCell="A2" activePane="bottomLeft" state="frozen"/>
      <selection pane="bottomLeft"/>
    </sheetView>
  </sheetViews>
  <sheetFormatPr defaultRowHeight="15"/>
  <cols>
    <col min="1" max="1" width="5.7109375" customWidth="1"/>
    <col min="2" max="2" width="10.7109375" customWidth="1"/>
    <col min="3" max="3" width="52.7109375" customWidth="1"/>
    <col min="4" max="6" width="10.7109375" customWidth="1"/>
    <col min="7" max="7" width="13.7109375" customWidth="1"/>
    <col min="8" max="8" width="10.7109375" customWidth="1"/>
    <col min="9" max="10" width="12.7109375" customWidth="1"/>
    <col min="11" max="11" width="24.7109375" customWidth="1"/>
  </cols>
  <sheetData>
    <row r="1" spans="1:11" ht="34" customHeight="1">
      <c r="A1" s="5" t="s">
        <v>1749</v>
      </c>
      <c r="B1" s="5" t="s">
        <v>46</v>
      </c>
      <c r="C1" s="5" t="s">
        <v>1706</v>
      </c>
      <c r="D1" s="5" t="s">
        <v>1750</v>
      </c>
      <c r="E1" s="5" t="s">
        <v>1751</v>
      </c>
      <c r="F1" s="5" t="s">
        <v>1752</v>
      </c>
      <c r="G1" s="5" t="s">
        <v>1753</v>
      </c>
      <c r="H1" s="5" t="s">
        <v>1715</v>
      </c>
      <c r="I1" s="5" t="s">
        <v>1754</v>
      </c>
      <c r="J1" s="5" t="s">
        <v>1755</v>
      </c>
      <c r="K1" s="5" t="s">
        <v>1756</v>
      </c>
    </row>
    <row r="2" spans="1:11">
      <c r="A2" s="13">
        <v>1</v>
      </c>
      <c r="B2" s="3" t="s">
        <v>1716</v>
      </c>
      <c r="C2" s="3" t="s">
        <v>1757</v>
      </c>
      <c r="D2" s="8">
        <v>7.167</v>
      </c>
      <c r="E2" s="8">
        <v>7.855</v>
      </c>
      <c r="F2" s="8">
        <v>7.373</v>
      </c>
      <c r="G2" s="11">
        <v>0.987</v>
      </c>
      <c r="H2" s="11">
        <v>0.494</v>
      </c>
      <c r="I2" s="3" t="s">
        <v>1758</v>
      </c>
      <c r="J2" s="3" t="s">
        <v>1758</v>
      </c>
      <c r="K2" s="3" t="s">
        <v>1759</v>
      </c>
    </row>
    <row r="3" spans="1:11">
      <c r="A3" s="13">
        <v>2</v>
      </c>
      <c r="B3" s="3" t="s">
        <v>61</v>
      </c>
      <c r="C3" s="3" t="s">
        <v>1760</v>
      </c>
      <c r="D3" s="8">
        <v>6.867</v>
      </c>
      <c r="E3" s="8">
        <v>7.9</v>
      </c>
      <c r="F3" s="8">
        <v>7.177</v>
      </c>
      <c r="G3" s="11">
        <v>1.01</v>
      </c>
      <c r="H3" s="11">
        <v>0.505</v>
      </c>
      <c r="I3" s="3" t="s">
        <v>1758</v>
      </c>
      <c r="J3" s="3" t="s">
        <v>1758</v>
      </c>
      <c r="K3" s="3" t="s">
        <v>1759</v>
      </c>
    </row>
    <row r="4" spans="1:11">
      <c r="A4" s="13">
        <v>3</v>
      </c>
      <c r="B4" s="3" t="s">
        <v>328</v>
      </c>
      <c r="C4" s="3" t="s">
        <v>1736</v>
      </c>
      <c r="D4" s="9">
        <v>6.022</v>
      </c>
      <c r="E4" s="8">
        <v>7.49</v>
      </c>
      <c r="F4" s="9">
        <v>6.462</v>
      </c>
      <c r="G4" s="11">
        <v>1.248</v>
      </c>
      <c r="H4" s="11">
        <v>0.63</v>
      </c>
      <c r="I4" s="3" t="s">
        <v>1761</v>
      </c>
      <c r="J4" s="3" t="s">
        <v>1758</v>
      </c>
      <c r="K4" s="3" t="s">
        <v>1759</v>
      </c>
    </row>
    <row r="5" spans="1:11">
      <c r="A5" s="13">
        <v>4</v>
      </c>
      <c r="B5" s="3" t="s">
        <v>1389</v>
      </c>
      <c r="C5" s="3" t="s">
        <v>1737</v>
      </c>
      <c r="D5" s="9">
        <v>5.943</v>
      </c>
      <c r="E5" s="8">
        <v>7.405</v>
      </c>
      <c r="F5" s="9">
        <v>6.382</v>
      </c>
      <c r="G5" s="11">
        <v>1.244</v>
      </c>
      <c r="H5" s="11">
        <v>0.628</v>
      </c>
      <c r="I5" s="3" t="s">
        <v>1761</v>
      </c>
      <c r="J5" s="3" t="s">
        <v>1758</v>
      </c>
      <c r="K5" s="3" t="s">
        <v>1759</v>
      </c>
    </row>
    <row r="6" spans="1:11">
      <c r="A6" s="13">
        <v>5</v>
      </c>
      <c r="B6" s="3" t="s">
        <v>947</v>
      </c>
      <c r="C6" s="3" t="s">
        <v>1738</v>
      </c>
      <c r="D6" s="9">
        <v>6.625</v>
      </c>
      <c r="E6" s="9">
        <v>5.587</v>
      </c>
      <c r="F6" s="9">
        <v>6.314</v>
      </c>
      <c r="G6" s="11">
        <v>1.072</v>
      </c>
      <c r="H6" s="11">
        <v>0.537</v>
      </c>
      <c r="I6" s="3" t="s">
        <v>1761</v>
      </c>
      <c r="J6" s="3" t="s">
        <v>1761</v>
      </c>
      <c r="K6" s="3" t="s">
        <v>1762</v>
      </c>
    </row>
    <row r="7" spans="1:11">
      <c r="A7" s="13">
        <v>6</v>
      </c>
      <c r="B7" s="3" t="s">
        <v>1553</v>
      </c>
      <c r="C7" s="3" t="s">
        <v>1739</v>
      </c>
      <c r="D7" s="9">
        <v>6.367</v>
      </c>
      <c r="E7" s="9">
        <v>5.495</v>
      </c>
      <c r="F7" s="9">
        <v>6.105</v>
      </c>
      <c r="G7" s="11">
        <v>1.032</v>
      </c>
      <c r="H7" s="11">
        <v>0.516</v>
      </c>
      <c r="I7" s="3" t="s">
        <v>1761</v>
      </c>
      <c r="J7" s="3" t="s">
        <v>1761</v>
      </c>
      <c r="K7" s="3" t="s">
        <v>1762</v>
      </c>
    </row>
    <row r="8" spans="1:11">
      <c r="A8" s="13">
        <v>7</v>
      </c>
      <c r="B8" s="3" t="s">
        <v>209</v>
      </c>
      <c r="C8" s="3" t="s">
        <v>1740</v>
      </c>
      <c r="D8" s="9">
        <v>5.895</v>
      </c>
      <c r="E8" s="9">
        <v>6.55</v>
      </c>
      <c r="F8" s="9">
        <v>6.091</v>
      </c>
      <c r="G8" s="11">
        <v>1.017</v>
      </c>
      <c r="H8" s="11">
        <v>0.509</v>
      </c>
      <c r="I8" s="3" t="s">
        <v>1761</v>
      </c>
      <c r="J8" s="3" t="s">
        <v>1761</v>
      </c>
      <c r="K8" s="3" t="s">
        <v>1762</v>
      </c>
    </row>
    <row r="9" spans="1:11">
      <c r="A9" s="13">
        <v>8</v>
      </c>
      <c r="B9" s="3" t="s">
        <v>1464</v>
      </c>
      <c r="C9" s="3" t="s">
        <v>1465</v>
      </c>
      <c r="D9" s="9">
        <v>5.582</v>
      </c>
      <c r="E9" s="8">
        <v>7.015</v>
      </c>
      <c r="F9" s="9">
        <v>6.012</v>
      </c>
      <c r="G9" s="11">
        <v>1.051</v>
      </c>
      <c r="H9" s="11">
        <v>0.526</v>
      </c>
      <c r="I9" s="3" t="s">
        <v>1761</v>
      </c>
      <c r="J9" s="3" t="s">
        <v>1758</v>
      </c>
      <c r="K9" s="3" t="s">
        <v>1759</v>
      </c>
    </row>
    <row r="10" spans="1:11">
      <c r="A10" s="13">
        <v>9</v>
      </c>
      <c r="B10" s="3" t="s">
        <v>91</v>
      </c>
      <c r="C10" s="3" t="s">
        <v>1741</v>
      </c>
      <c r="D10" s="9">
        <v>5.547</v>
      </c>
      <c r="E10" s="8">
        <v>6.828</v>
      </c>
      <c r="F10" s="9">
        <v>5.931</v>
      </c>
      <c r="G10" s="11">
        <v>1.165</v>
      </c>
      <c r="H10" s="11">
        <v>0.586</v>
      </c>
      <c r="I10" s="3" t="s">
        <v>1761</v>
      </c>
      <c r="J10" s="3" t="s">
        <v>1758</v>
      </c>
      <c r="K10" s="3" t="s">
        <v>1759</v>
      </c>
    </row>
    <row r="11" spans="1:11">
      <c r="A11" s="13">
        <v>10</v>
      </c>
      <c r="B11" s="3" t="s">
        <v>1359</v>
      </c>
      <c r="C11" s="3" t="s">
        <v>1742</v>
      </c>
      <c r="D11" s="9">
        <v>5.82</v>
      </c>
      <c r="E11" s="9">
        <v>6.135</v>
      </c>
      <c r="F11" s="9">
        <v>5.914</v>
      </c>
      <c r="G11" s="11">
        <v>0.964</v>
      </c>
      <c r="H11" s="11">
        <v>0.482</v>
      </c>
      <c r="I11" s="3" t="s">
        <v>1761</v>
      </c>
      <c r="J11" s="3" t="s">
        <v>1761</v>
      </c>
      <c r="K11" s="3" t="s">
        <v>1762</v>
      </c>
    </row>
    <row r="12" spans="1:11">
      <c r="A12" s="13">
        <v>11</v>
      </c>
      <c r="B12" s="3" t="s">
        <v>691</v>
      </c>
      <c r="C12" s="3" t="s">
        <v>1743</v>
      </c>
      <c r="D12" s="9">
        <v>5.71</v>
      </c>
      <c r="E12" s="9">
        <v>6.157</v>
      </c>
      <c r="F12" s="9">
        <v>5.844</v>
      </c>
      <c r="G12" s="11">
        <v>0.945</v>
      </c>
      <c r="H12" s="11">
        <v>0.472</v>
      </c>
      <c r="I12" s="3" t="s">
        <v>1761</v>
      </c>
      <c r="J12" s="3" t="s">
        <v>1761</v>
      </c>
      <c r="K12" s="3" t="s">
        <v>1762</v>
      </c>
    </row>
    <row r="13" spans="1:11">
      <c r="A13" s="13">
        <v>12</v>
      </c>
      <c r="B13" s="3" t="s">
        <v>636</v>
      </c>
      <c r="C13" s="3" t="s">
        <v>637</v>
      </c>
      <c r="D13" s="9">
        <v>5.905</v>
      </c>
      <c r="E13" s="9">
        <v>5.69</v>
      </c>
      <c r="F13" s="9">
        <v>5.84</v>
      </c>
      <c r="G13" s="11">
        <v>0.987</v>
      </c>
      <c r="H13" s="11">
        <v>0.493</v>
      </c>
      <c r="I13" s="3" t="s">
        <v>1761</v>
      </c>
      <c r="J13" s="3" t="s">
        <v>1761</v>
      </c>
      <c r="K13" s="3" t="s">
        <v>1762</v>
      </c>
    </row>
    <row r="14" spans="1:11">
      <c r="A14" s="13">
        <v>13</v>
      </c>
      <c r="B14" s="3" t="s">
        <v>1434</v>
      </c>
      <c r="C14" s="3" t="s">
        <v>1744</v>
      </c>
      <c r="D14" s="9">
        <v>5.47</v>
      </c>
      <c r="E14" s="9">
        <v>6.66</v>
      </c>
      <c r="F14" s="9">
        <v>5.827</v>
      </c>
      <c r="G14" s="11">
        <v>0.964</v>
      </c>
      <c r="H14" s="11">
        <v>0.482</v>
      </c>
      <c r="I14" s="3" t="s">
        <v>1761</v>
      </c>
      <c r="J14" s="3" t="s">
        <v>1761</v>
      </c>
      <c r="K14" s="3" t="s">
        <v>1762</v>
      </c>
    </row>
    <row r="15" spans="1:11">
      <c r="A15" s="13">
        <v>14</v>
      </c>
      <c r="B15" s="3" t="s">
        <v>1269</v>
      </c>
      <c r="C15" s="3" t="s">
        <v>1745</v>
      </c>
      <c r="D15" s="9">
        <v>5.72</v>
      </c>
      <c r="E15" s="9">
        <v>5.925</v>
      </c>
      <c r="F15" s="9">
        <v>5.782</v>
      </c>
      <c r="G15" s="11">
        <v>0.986</v>
      </c>
      <c r="H15" s="11">
        <v>0.493</v>
      </c>
      <c r="I15" s="3" t="s">
        <v>1761</v>
      </c>
      <c r="J15" s="3" t="s">
        <v>1761</v>
      </c>
      <c r="K15" s="3" t="s">
        <v>1762</v>
      </c>
    </row>
    <row r="16" spans="1:11">
      <c r="A16" s="13">
        <v>15</v>
      </c>
      <c r="B16" s="3" t="s">
        <v>905</v>
      </c>
      <c r="C16" s="3" t="s">
        <v>1746</v>
      </c>
      <c r="D16" s="9">
        <v>5.087</v>
      </c>
      <c r="E16" s="9">
        <v>6.41</v>
      </c>
      <c r="F16" s="9">
        <v>5.484</v>
      </c>
      <c r="G16" s="11">
        <v>1.24</v>
      </c>
      <c r="H16" s="11">
        <v>0.626</v>
      </c>
      <c r="I16" s="3" t="s">
        <v>1761</v>
      </c>
      <c r="J16" s="3" t="s">
        <v>1761</v>
      </c>
      <c r="K16" s="3" t="s">
        <v>1762</v>
      </c>
    </row>
    <row r="17" spans="1:11">
      <c r="A17" s="13">
        <v>16</v>
      </c>
      <c r="B17" s="3" t="s">
        <v>1374</v>
      </c>
      <c r="C17" s="3" t="s">
        <v>1747</v>
      </c>
      <c r="D17" s="9">
        <v>4.93</v>
      </c>
      <c r="E17" s="8">
        <v>6.72</v>
      </c>
      <c r="F17" s="9">
        <v>5.467</v>
      </c>
      <c r="G17" s="11">
        <v>1.017</v>
      </c>
      <c r="H17" s="11">
        <v>0.509</v>
      </c>
      <c r="I17" s="3" t="s">
        <v>1761</v>
      </c>
      <c r="J17" s="3" t="s">
        <v>1758</v>
      </c>
      <c r="K17" s="3" t="s">
        <v>1759</v>
      </c>
    </row>
    <row r="18" spans="1:11">
      <c r="A18" s="13">
        <v>17</v>
      </c>
      <c r="B18" s="3" t="s">
        <v>1239</v>
      </c>
      <c r="C18" s="3" t="s">
        <v>1748</v>
      </c>
      <c r="D18" s="9">
        <v>5.235</v>
      </c>
      <c r="E18" s="9">
        <v>5.99</v>
      </c>
      <c r="F18" s="9">
        <v>5.462</v>
      </c>
      <c r="G18" s="11">
        <v>1.039</v>
      </c>
      <c r="H18" s="11">
        <v>0.52</v>
      </c>
      <c r="I18" s="3" t="s">
        <v>1761</v>
      </c>
      <c r="J18" s="3" t="s">
        <v>1761</v>
      </c>
      <c r="K18" s="3" t="s">
        <v>1762</v>
      </c>
    </row>
    <row r="21" spans="1:11">
      <c r="A21" s="4" t="s">
        <v>1763</v>
      </c>
    </row>
    <row r="22" spans="1:11">
      <c r="B22" s="5"/>
      <c r="C22" s="5" t="s">
        <v>1764</v>
      </c>
      <c r="D22" s="5" t="s">
        <v>1765</v>
      </c>
      <c r="E22" s="5" t="s">
        <v>1766</v>
      </c>
    </row>
    <row r="23" spans="1:11" ht="40" customHeight="1">
      <c r="B23" s="5" t="s">
        <v>1767</v>
      </c>
      <c r="C23" s="3" t="s">
        <v>1768</v>
      </c>
      <c r="D23" s="3" t="s">
        <v>1769</v>
      </c>
      <c r="E23" s="3" t="s">
        <v>1769</v>
      </c>
    </row>
    <row r="24" spans="1:11" ht="40" customHeight="1">
      <c r="B24" s="5" t="s">
        <v>1770</v>
      </c>
      <c r="C24" s="3" t="s">
        <v>1771</v>
      </c>
      <c r="D24" s="3" t="s">
        <v>1772</v>
      </c>
      <c r="E24" s="3" t="s">
        <v>1769</v>
      </c>
    </row>
    <row r="25" spans="1:11" ht="40" customHeight="1">
      <c r="B25" s="5" t="s">
        <v>1773</v>
      </c>
      <c r="C25" s="3" t="s">
        <v>1769</v>
      </c>
      <c r="D25" s="3" t="s">
        <v>1769</v>
      </c>
      <c r="E25" s="3" t="s">
        <v>1769</v>
      </c>
    </row>
    <row r="27" spans="1:11">
      <c r="B27" s="6" t="s">
        <v>1774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9"/>
  <sheetViews>
    <sheetView workbookViewId="0">
      <pane ySplit="2" topLeftCell="A3" activePane="bottomLeft" state="frozen"/>
      <selection pane="bottomLeft"/>
    </sheetView>
  </sheetViews>
  <sheetFormatPr defaultRowHeight="15"/>
  <cols>
    <col min="1" max="1" width="12.7109375" customWidth="1"/>
    <col min="2" max="2" width="13.7109375" customWidth="1"/>
    <col min="3" max="4" width="20.7109375" customWidth="1"/>
    <col min="5" max="5" width="16.7109375" customWidth="1"/>
    <col min="6" max="6" width="10.7109375" customWidth="1"/>
    <col min="7" max="7" width="56.7109375" customWidth="1"/>
  </cols>
  <sheetData>
    <row r="1" spans="1:7" ht="56" customHeight="1">
      <c r="A1" s="6" t="s">
        <v>1775</v>
      </c>
    </row>
    <row r="2" spans="1:7" ht="34" customHeight="1">
      <c r="A2" s="5" t="s">
        <v>1776</v>
      </c>
      <c r="B2" s="5" t="s">
        <v>1777</v>
      </c>
      <c r="C2" s="5" t="s">
        <v>1778</v>
      </c>
      <c r="D2" s="5" t="s">
        <v>1779</v>
      </c>
      <c r="E2" s="5" t="s">
        <v>1780</v>
      </c>
      <c r="F2" s="5" t="s">
        <v>46</v>
      </c>
      <c r="G2" s="5" t="s">
        <v>1706</v>
      </c>
    </row>
    <row r="3" spans="1:7">
      <c r="A3" s="13">
        <v>1</v>
      </c>
      <c r="B3" s="3"/>
      <c r="C3" s="8">
        <v>7.297275212121212</v>
      </c>
      <c r="D3" s="9">
        <v>4.5</v>
      </c>
      <c r="E3" s="10" t="s">
        <v>1781</v>
      </c>
      <c r="F3" s="3" t="s">
        <v>1716</v>
      </c>
      <c r="G3" s="3" t="s">
        <v>1757</v>
      </c>
    </row>
    <row r="4" spans="1:7">
      <c r="A4" s="13">
        <v>2</v>
      </c>
      <c r="B4" s="3"/>
      <c r="C4" s="8">
        <v>7.071004848484849</v>
      </c>
      <c r="D4" s="10">
        <v>3.5</v>
      </c>
      <c r="E4" s="10" t="s">
        <v>1781</v>
      </c>
      <c r="F4" s="3" t="s">
        <v>61</v>
      </c>
      <c r="G4" s="3" t="s">
        <v>1760</v>
      </c>
    </row>
    <row r="5" spans="1:7">
      <c r="A5" s="13">
        <v>3</v>
      </c>
      <c r="B5" s="3"/>
      <c r="C5" s="9">
        <v>6.42668684848485</v>
      </c>
      <c r="D5" s="10">
        <v>3.5</v>
      </c>
      <c r="E5" s="10" t="s">
        <v>1781</v>
      </c>
      <c r="F5" s="3" t="s">
        <v>328</v>
      </c>
      <c r="G5" s="3" t="s">
        <v>1736</v>
      </c>
    </row>
    <row r="6" spans="1:7">
      <c r="A6" s="13">
        <v>4</v>
      </c>
      <c r="B6" s="3"/>
      <c r="C6" s="9">
        <v>6.38357509090909</v>
      </c>
      <c r="D6" s="9">
        <v>6.5</v>
      </c>
      <c r="E6" s="8" t="s">
        <v>1782</v>
      </c>
      <c r="F6" s="3" t="s">
        <v>947</v>
      </c>
      <c r="G6" s="3" t="s">
        <v>1738</v>
      </c>
    </row>
    <row r="7" spans="1:7">
      <c r="A7" s="13">
        <v>5</v>
      </c>
      <c r="B7" s="3"/>
      <c r="C7" s="9">
        <v>6.30589096969697</v>
      </c>
      <c r="D7" s="10">
        <v>3.5</v>
      </c>
      <c r="E7" s="10" t="s">
        <v>1781</v>
      </c>
      <c r="F7" s="3" t="s">
        <v>1389</v>
      </c>
      <c r="G7" s="3" t="s">
        <v>1737</v>
      </c>
    </row>
    <row r="8" spans="1:7">
      <c r="A8" s="13">
        <v>6</v>
      </c>
      <c r="B8" s="3"/>
      <c r="C8" s="9">
        <v>6.152892666666666</v>
      </c>
      <c r="D8" s="9">
        <v>4.5</v>
      </c>
      <c r="E8" s="10" t="s">
        <v>1781</v>
      </c>
      <c r="F8" s="3" t="s">
        <v>1553</v>
      </c>
      <c r="G8" s="3" t="s">
        <v>1739</v>
      </c>
    </row>
    <row r="9" spans="1:7">
      <c r="A9" s="13">
        <v>7</v>
      </c>
      <c r="B9" s="3"/>
      <c r="C9" s="9">
        <v>6.102744545454545</v>
      </c>
      <c r="D9" s="9">
        <v>5</v>
      </c>
      <c r="E9" s="8" t="s">
        <v>1782</v>
      </c>
      <c r="F9" s="3" t="s">
        <v>209</v>
      </c>
      <c r="G9" s="3" t="s">
        <v>1740</v>
      </c>
    </row>
    <row r="10" spans="1:7">
      <c r="A10" s="13">
        <v>8</v>
      </c>
      <c r="B10" s="3"/>
      <c r="C10" s="9">
        <v>5.946156848484849</v>
      </c>
      <c r="D10" s="10">
        <v>3.5</v>
      </c>
      <c r="E10" s="10" t="s">
        <v>1781</v>
      </c>
      <c r="F10" s="3" t="s">
        <v>1464</v>
      </c>
      <c r="G10" s="3" t="s">
        <v>1465</v>
      </c>
    </row>
    <row r="11" spans="1:7">
      <c r="A11" s="13">
        <v>9</v>
      </c>
      <c r="B11" s="3"/>
      <c r="C11" s="9">
        <v>5.929043454545455</v>
      </c>
      <c r="D11" s="10">
        <v>4</v>
      </c>
      <c r="E11" s="10" t="s">
        <v>1781</v>
      </c>
      <c r="F11" s="3" t="s">
        <v>1359</v>
      </c>
      <c r="G11" s="3" t="s">
        <v>1742</v>
      </c>
    </row>
    <row r="12" spans="1:7">
      <c r="A12" s="13">
        <v>10</v>
      </c>
      <c r="B12" s="3"/>
      <c r="C12" s="9">
        <v>5.909498363636364</v>
      </c>
      <c r="D12" s="10">
        <v>3.5</v>
      </c>
      <c r="E12" s="10" t="s">
        <v>1781</v>
      </c>
      <c r="F12" s="3" t="s">
        <v>636</v>
      </c>
      <c r="G12" s="3" t="s">
        <v>637</v>
      </c>
    </row>
    <row r="13" spans="1:7">
      <c r="A13" s="13">
        <v>11</v>
      </c>
      <c r="B13" s="3"/>
      <c r="C13" s="9">
        <v>5.831892666666667</v>
      </c>
      <c r="D13" s="10">
        <v>4</v>
      </c>
      <c r="E13" s="10" t="s">
        <v>1781</v>
      </c>
      <c r="F13" s="3" t="s">
        <v>91</v>
      </c>
      <c r="G13" s="3" t="s">
        <v>1741</v>
      </c>
    </row>
    <row r="14" spans="1:7">
      <c r="A14" s="13">
        <v>12</v>
      </c>
      <c r="B14" s="3"/>
      <c r="C14" s="9">
        <v>5.812370181818181</v>
      </c>
      <c r="D14" s="9">
        <v>5.5</v>
      </c>
      <c r="E14" s="8" t="s">
        <v>1782</v>
      </c>
      <c r="F14" s="3" t="s">
        <v>691</v>
      </c>
      <c r="G14" s="3" t="s">
        <v>1743</v>
      </c>
    </row>
    <row r="15" spans="1:7">
      <c r="A15" s="13">
        <v>13</v>
      </c>
      <c r="B15" s="3"/>
      <c r="C15" s="9">
        <v>5.794904363636363</v>
      </c>
      <c r="D15" s="10">
        <v>4</v>
      </c>
      <c r="E15" s="10" t="s">
        <v>1781</v>
      </c>
      <c r="F15" s="3" t="s">
        <v>1434</v>
      </c>
      <c r="G15" s="3" t="s">
        <v>1744</v>
      </c>
    </row>
    <row r="16" spans="1:7">
      <c r="A16" s="13">
        <v>14</v>
      </c>
      <c r="B16" s="3"/>
      <c r="C16" s="9">
        <v>5.756662727272728</v>
      </c>
      <c r="D16" s="9">
        <v>4.5</v>
      </c>
      <c r="E16" s="10" t="s">
        <v>1781</v>
      </c>
      <c r="F16" s="3" t="s">
        <v>1269</v>
      </c>
      <c r="G16" s="3" t="s">
        <v>1745</v>
      </c>
    </row>
    <row r="17" spans="1:7">
      <c r="A17" s="13">
        <v>15</v>
      </c>
      <c r="B17" s="3"/>
      <c r="C17" s="9">
        <v>5.456407393939394</v>
      </c>
      <c r="D17" s="10">
        <v>3.666666666666667</v>
      </c>
      <c r="E17" s="10" t="s">
        <v>1781</v>
      </c>
      <c r="F17" s="3" t="s">
        <v>905</v>
      </c>
      <c r="G17" s="3" t="s">
        <v>1746</v>
      </c>
    </row>
    <row r="18" spans="1:7">
      <c r="A18" s="13">
        <v>16</v>
      </c>
      <c r="B18" s="3"/>
      <c r="C18" s="9">
        <v>5.423856545454545</v>
      </c>
      <c r="D18" s="10">
        <v>4</v>
      </c>
      <c r="E18" s="10" t="s">
        <v>1781</v>
      </c>
      <c r="F18" s="3" t="s">
        <v>1239</v>
      </c>
      <c r="G18" s="3" t="s">
        <v>1748</v>
      </c>
    </row>
    <row r="19" spans="1:7">
      <c r="A19" s="13">
        <v>17</v>
      </c>
      <c r="B19" s="3"/>
      <c r="C19" s="9">
        <v>5.416974181818182</v>
      </c>
      <c r="D19" s="10">
        <v>4</v>
      </c>
      <c r="E19" s="10" t="s">
        <v>1781</v>
      </c>
      <c r="F19" s="3" t="s">
        <v>1374</v>
      </c>
      <c r="G19" s="3" t="s">
        <v>1747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S79"/>
  <sheetViews>
    <sheetView workbookViewId="0">
      <pane ySplit="2" topLeftCell="A3" activePane="bottomLeft" state="frozen"/>
      <selection pane="bottomLeft"/>
    </sheetView>
  </sheetViews>
  <sheetFormatPr defaultRowHeight="15"/>
  <cols>
    <col min="1" max="1" width="10.7109375" customWidth="1"/>
    <col min="2" max="2" width="40.7109375" customWidth="1"/>
    <col min="3" max="3" width="30.7109375" customWidth="1"/>
    <col min="4" max="7" width="15.7109375" customWidth="1"/>
    <col min="8" max="8" width="10.7109375" customWidth="1"/>
    <col min="9" max="12" width="13.7109375" customWidth="1"/>
    <col min="13" max="14" width="16.7109375" customWidth="1"/>
    <col min="15" max="15" width="13.7109375" customWidth="1"/>
    <col min="16" max="16" width="14.7109375" customWidth="1"/>
    <col min="17" max="17" width="17.7109375" customWidth="1"/>
    <col min="18" max="18" width="16.7109375" customWidth="1"/>
    <col min="19" max="19" width="20.7109375" customWidth="1"/>
  </cols>
  <sheetData>
    <row r="1" spans="1:19" ht="28" customHeight="1">
      <c r="A1" s="6" t="s">
        <v>1783</v>
      </c>
    </row>
    <row r="2" spans="1:19" ht="34" customHeight="1">
      <c r="A2" s="5" t="s">
        <v>46</v>
      </c>
      <c r="B2" s="5" t="s">
        <v>1706</v>
      </c>
      <c r="C2" s="5" t="s">
        <v>1784</v>
      </c>
      <c r="D2" s="5" t="s">
        <v>1785</v>
      </c>
      <c r="E2" s="5" t="s">
        <v>1786</v>
      </c>
      <c r="F2" s="5" t="s">
        <v>1787</v>
      </c>
      <c r="G2" s="5" t="s">
        <v>1788</v>
      </c>
      <c r="H2" s="5" t="s">
        <v>1789</v>
      </c>
      <c r="I2" s="5" t="s">
        <v>1790</v>
      </c>
      <c r="J2" s="5" t="s">
        <v>1791</v>
      </c>
      <c r="K2" s="5" t="s">
        <v>1792</v>
      </c>
      <c r="L2" s="5" t="s">
        <v>1793</v>
      </c>
      <c r="M2" s="5" t="s">
        <v>1794</v>
      </c>
      <c r="N2" s="5" t="s">
        <v>1795</v>
      </c>
      <c r="O2" s="5" t="s">
        <v>1796</v>
      </c>
      <c r="P2" s="5" t="s">
        <v>1797</v>
      </c>
      <c r="Q2" s="5" t="s">
        <v>1798</v>
      </c>
      <c r="R2" s="5" t="s">
        <v>1799</v>
      </c>
      <c r="S2" s="5" t="s">
        <v>1800</v>
      </c>
    </row>
    <row r="3" spans="1:19">
      <c r="A3" s="3" t="s">
        <v>209</v>
      </c>
      <c r="B3" s="3" t="s">
        <v>1801</v>
      </c>
      <c r="C3" s="3" t="s">
        <v>1802</v>
      </c>
      <c r="D3" s="7">
        <v>0.30555</v>
      </c>
      <c r="E3" s="14">
        <v>198759.7919825646</v>
      </c>
      <c r="F3" s="14">
        <v>-71942.96494567904</v>
      </c>
      <c r="G3" s="14">
        <v>836360.759804908</v>
      </c>
      <c r="H3" s="7">
        <v>0.28875</v>
      </c>
      <c r="I3" s="14">
        <v>-106063.4700968962</v>
      </c>
      <c r="J3" s="14">
        <v>-88014.08993343879</v>
      </c>
      <c r="K3" s="14">
        <v>67237.4265350028</v>
      </c>
      <c r="L3" s="14">
        <v>1602995.052541727</v>
      </c>
      <c r="M3" s="14">
        <v>-81777.28875487807</v>
      </c>
      <c r="N3" s="7">
        <v>0.00275</v>
      </c>
      <c r="O3" s="7">
        <v>0.5528</v>
      </c>
      <c r="P3" s="7">
        <v>0.1389</v>
      </c>
      <c r="Q3" s="14">
        <v>95394.64258871003</v>
      </c>
      <c r="R3" s="14">
        <v>122569.3588155036</v>
      </c>
      <c r="S3" s="14">
        <v>535815.4562144944</v>
      </c>
    </row>
    <row r="4" spans="1:19">
      <c r="A4" s="3" t="s">
        <v>209</v>
      </c>
      <c r="B4" s="3" t="s">
        <v>1801</v>
      </c>
      <c r="C4" s="3" t="s">
        <v>1803</v>
      </c>
      <c r="D4" s="7">
        <v>0.0556</v>
      </c>
      <c r="E4" s="14">
        <v>-969.2130134083092</v>
      </c>
      <c r="F4" s="14">
        <v>-128524.6039173189</v>
      </c>
      <c r="G4" s="14">
        <v>2089128.869680842</v>
      </c>
      <c r="H4" s="7">
        <v>0.05525</v>
      </c>
      <c r="I4" s="14">
        <v>-133129.4026750474</v>
      </c>
      <c r="J4" s="14">
        <v>-131113.5192980111</v>
      </c>
      <c r="K4" s="14">
        <v>-121714.609140769</v>
      </c>
      <c r="L4" s="14">
        <v>383840.9994718446</v>
      </c>
      <c r="M4" s="14">
        <v>-124020.3072508081</v>
      </c>
      <c r="N4" s="7">
        <v>0.76555</v>
      </c>
      <c r="O4" s="7">
        <v>0.04535</v>
      </c>
      <c r="P4" s="7">
        <v>0.1335</v>
      </c>
      <c r="Q4" s="14">
        <v>143540.7276152255</v>
      </c>
      <c r="R4" s="14">
        <v>150000</v>
      </c>
      <c r="S4" s="14">
        <v>1813932.721740466</v>
      </c>
    </row>
    <row r="5" spans="1:19">
      <c r="A5" s="3" t="s">
        <v>209</v>
      </c>
      <c r="B5" s="3" t="s">
        <v>1801</v>
      </c>
      <c r="C5" s="3" t="s">
        <v>1804</v>
      </c>
      <c r="D5" s="7">
        <v>0.3085</v>
      </c>
      <c r="E5" s="14">
        <v>175835.0186708587</v>
      </c>
      <c r="F5" s="14">
        <v>-71401.80831445431</v>
      </c>
      <c r="G5" s="14">
        <v>752092.9096295983</v>
      </c>
      <c r="H5" s="7">
        <v>0.2877</v>
      </c>
      <c r="I5" s="14">
        <v>-105395.3135619129</v>
      </c>
      <c r="J5" s="14">
        <v>-87591.53728855708</v>
      </c>
      <c r="K5" s="14">
        <v>57913.05485248674</v>
      </c>
      <c r="L5" s="14">
        <v>1451069.628362519</v>
      </c>
      <c r="M5" s="14">
        <v>-81251.8350685066</v>
      </c>
      <c r="N5" s="7">
        <v>0.00275</v>
      </c>
      <c r="O5" s="7">
        <v>0.5469000000000001</v>
      </c>
      <c r="P5" s="7">
        <v>0.14185</v>
      </c>
      <c r="Q5" s="14">
        <v>94490.49411011007</v>
      </c>
      <c r="R5" s="14">
        <v>121359.0385019427</v>
      </c>
      <c r="S5" s="14">
        <v>463051.495461924</v>
      </c>
    </row>
    <row r="6" spans="1:19">
      <c r="A6" s="3" t="s">
        <v>209</v>
      </c>
      <c r="B6" s="3" t="s">
        <v>1801</v>
      </c>
      <c r="C6" s="3" t="s">
        <v>1805</v>
      </c>
      <c r="D6" s="7">
        <v>0.2228</v>
      </c>
      <c r="E6" s="14">
        <v>79016.39012888413</v>
      </c>
      <c r="F6" s="14">
        <v>-76708.34391283433</v>
      </c>
      <c r="G6" s="14">
        <v>643994.7592911185</v>
      </c>
      <c r="H6" s="7">
        <v>0.2058</v>
      </c>
      <c r="I6" s="14">
        <v>-108392.0386966061</v>
      </c>
      <c r="J6" s="14">
        <v>-91136.78381673765</v>
      </c>
      <c r="K6" s="14">
        <v>-52267.21575490506</v>
      </c>
      <c r="L6" s="14">
        <v>866351.598162048</v>
      </c>
      <c r="M6" s="14">
        <v>-82946.01420635237</v>
      </c>
      <c r="N6" s="7">
        <v>0.00345</v>
      </c>
      <c r="O6" s="7">
        <v>0.6343</v>
      </c>
      <c r="P6" s="7">
        <v>0.13945</v>
      </c>
      <c r="Q6" s="14">
        <v>97751.32419815545</v>
      </c>
      <c r="R6" s="14">
        <v>124936.2499005983</v>
      </c>
      <c r="S6" s="14">
        <v>461947.2992869989</v>
      </c>
    </row>
    <row r="7" spans="1:19">
      <c r="A7" s="3" t="s">
        <v>209</v>
      </c>
      <c r="B7" s="3" t="s">
        <v>1801</v>
      </c>
      <c r="C7" s="3" t="s">
        <v>1806</v>
      </c>
      <c r="D7" s="7">
        <v>0.09064999999999999</v>
      </c>
      <c r="E7" s="14">
        <v>26550.59717075135</v>
      </c>
      <c r="F7" s="14">
        <v>-94017.35008197452</v>
      </c>
      <c r="G7" s="14">
        <v>1261577.868852063</v>
      </c>
      <c r="H7" s="7">
        <v>0.09039999999999999</v>
      </c>
      <c r="I7" s="14">
        <v>-124353.8206879501</v>
      </c>
      <c r="J7" s="14">
        <v>-105791.1490349651</v>
      </c>
      <c r="K7" s="14">
        <v>-81647.57489733076</v>
      </c>
      <c r="L7" s="14">
        <v>699279.7566144184</v>
      </c>
      <c r="M7" s="14">
        <v>-96565.05926286701</v>
      </c>
      <c r="N7" s="7">
        <v>0.05595</v>
      </c>
      <c r="O7" s="7">
        <v>0.65405</v>
      </c>
      <c r="P7" s="7">
        <v>0.19935</v>
      </c>
      <c r="Q7" s="14">
        <v>116225.4569329348</v>
      </c>
      <c r="R7" s="14">
        <v>143295.4401629153</v>
      </c>
      <c r="S7" s="14">
        <v>1060028.728052594</v>
      </c>
    </row>
    <row r="9" spans="1:19">
      <c r="A9" s="3" t="s">
        <v>1807</v>
      </c>
      <c r="B9" s="3" t="s">
        <v>1808</v>
      </c>
      <c r="C9" s="3" t="s">
        <v>1802</v>
      </c>
      <c r="D9" s="7">
        <v>0.2343</v>
      </c>
      <c r="E9" s="14">
        <v>94803.65513915276</v>
      </c>
      <c r="F9" s="14">
        <v>-82906.96297010462</v>
      </c>
      <c r="G9" s="14">
        <v>700421.9037252819</v>
      </c>
      <c r="H9" s="7">
        <v>0.17255</v>
      </c>
      <c r="I9" s="14">
        <v>-121583.7471421636</v>
      </c>
      <c r="J9" s="14">
        <v>-101029.6695489</v>
      </c>
      <c r="K9" s="14">
        <v>-56331.91894216571</v>
      </c>
      <c r="L9" s="14">
        <v>972571.2448217877</v>
      </c>
      <c r="M9" s="14">
        <v>-90512.20700493768</v>
      </c>
      <c r="N9" s="7">
        <v>0.0626</v>
      </c>
      <c r="O9" s="7">
        <v>0.60605</v>
      </c>
      <c r="P9" s="7">
        <v>0.09705</v>
      </c>
      <c r="Q9" s="14">
        <v>108298.7796291163</v>
      </c>
      <c r="R9" s="14">
        <v>143895.7706678357</v>
      </c>
      <c r="S9" s="14">
        <v>777748.4200154599</v>
      </c>
    </row>
    <row r="10" spans="1:19">
      <c r="A10" s="3" t="s">
        <v>1807</v>
      </c>
      <c r="B10" s="3" t="s">
        <v>1808</v>
      </c>
      <c r="C10" s="3" t="s">
        <v>1803</v>
      </c>
      <c r="D10" s="7">
        <v>0.04575</v>
      </c>
      <c r="E10" s="14">
        <v>-33228.86311400281</v>
      </c>
      <c r="F10" s="14">
        <v>-124877.6125510734</v>
      </c>
      <c r="G10" s="14">
        <v>1795571.13639775</v>
      </c>
      <c r="H10" s="7">
        <v>0.04345</v>
      </c>
      <c r="I10" s="14">
        <v>-131738.4128910875</v>
      </c>
      <c r="J10" s="14">
        <v>-128614.1240023225</v>
      </c>
      <c r="K10" s="14">
        <v>-116846.5646372804</v>
      </c>
      <c r="L10" s="14">
        <v>-68964.56636978673</v>
      </c>
      <c r="M10" s="14">
        <v>-120907.7732294471</v>
      </c>
      <c r="N10" s="7">
        <v>0.8085</v>
      </c>
      <c r="O10" s="7">
        <v>0.04775</v>
      </c>
      <c r="P10" s="7">
        <v>0.098</v>
      </c>
      <c r="Q10" s="14">
        <v>143847.9065221902</v>
      </c>
      <c r="R10" s="14">
        <v>150000</v>
      </c>
      <c r="S10" s="14">
        <v>2940262.088965464</v>
      </c>
    </row>
    <row r="11" spans="1:19">
      <c r="A11" s="3" t="s">
        <v>1807</v>
      </c>
      <c r="B11" s="3" t="s">
        <v>1808</v>
      </c>
      <c r="C11" s="3" t="s">
        <v>1804</v>
      </c>
      <c r="D11" s="7">
        <v>0.27875</v>
      </c>
      <c r="E11" s="14">
        <v>86949.15095021947</v>
      </c>
      <c r="F11" s="14">
        <v>-77875.43767921333</v>
      </c>
      <c r="G11" s="14">
        <v>539289.5626996154</v>
      </c>
      <c r="H11" s="7">
        <v>0.20385</v>
      </c>
      <c r="I11" s="14">
        <v>-118420.7097927333</v>
      </c>
      <c r="J11" s="14">
        <v>-96315.46865359384</v>
      </c>
      <c r="K11" s="14">
        <v>-41474.35601195885</v>
      </c>
      <c r="L11" s="14">
        <v>920281.284212354</v>
      </c>
      <c r="M11" s="14">
        <v>-87872.18669296129</v>
      </c>
      <c r="N11" s="7">
        <v>0.04015</v>
      </c>
      <c r="O11" s="7">
        <v>0.5793</v>
      </c>
      <c r="P11" s="7">
        <v>0.1018</v>
      </c>
      <c r="Q11" s="14">
        <v>103767.5307096959</v>
      </c>
      <c r="R11" s="14">
        <v>137874.5094007656</v>
      </c>
      <c r="S11" s="14">
        <v>549132.1618698721</v>
      </c>
    </row>
    <row r="12" spans="1:19">
      <c r="A12" s="3" t="s">
        <v>1807</v>
      </c>
      <c r="B12" s="3" t="s">
        <v>1808</v>
      </c>
      <c r="C12" s="3" t="s">
        <v>1805</v>
      </c>
      <c r="D12" s="7">
        <v>0.17735</v>
      </c>
      <c r="E12" s="14">
        <v>21177.42230672573</v>
      </c>
      <c r="F12" s="14">
        <v>-86759.11448196734</v>
      </c>
      <c r="G12" s="14">
        <v>545521.9783596006</v>
      </c>
      <c r="H12" s="7">
        <v>0.12285</v>
      </c>
      <c r="I12" s="14">
        <v>-124402.0470091237</v>
      </c>
      <c r="J12" s="14">
        <v>-103934.6977527509</v>
      </c>
      <c r="K12" s="14">
        <v>-64496.1098522415</v>
      </c>
      <c r="L12" s="14">
        <v>463294.5849018464</v>
      </c>
      <c r="M12" s="14">
        <v>-91862.76126584748</v>
      </c>
      <c r="N12" s="7">
        <v>0.07870000000000001</v>
      </c>
      <c r="O12" s="7">
        <v>0.6435999999999999</v>
      </c>
      <c r="P12" s="7">
        <v>0.10035</v>
      </c>
      <c r="Q12" s="14">
        <v>110539.7333807061</v>
      </c>
      <c r="R12" s="14">
        <v>146569.6709009162</v>
      </c>
      <c r="S12" s="14">
        <v>692004.1927264947</v>
      </c>
    </row>
    <row r="13" spans="1:19">
      <c r="A13" s="3" t="s">
        <v>1807</v>
      </c>
      <c r="B13" s="3" t="s">
        <v>1808</v>
      </c>
      <c r="C13" s="3" t="s">
        <v>1806</v>
      </c>
      <c r="D13" s="7">
        <v>0.03335</v>
      </c>
      <c r="E13" s="14">
        <v>-77150.32377265453</v>
      </c>
      <c r="F13" s="14">
        <v>-123874.1007864261</v>
      </c>
      <c r="G13" s="14">
        <v>1149541.396426403</v>
      </c>
      <c r="H13" s="7">
        <v>0.03235</v>
      </c>
      <c r="I13" s="14">
        <v>-132078.7482812461</v>
      </c>
      <c r="J13" s="14">
        <v>-128859.8482516165</v>
      </c>
      <c r="K13" s="14">
        <v>-110489.3733405026</v>
      </c>
      <c r="L13" s="14">
        <v>-85803.81228947622</v>
      </c>
      <c r="M13" s="14">
        <v>-119471.9178021777</v>
      </c>
      <c r="N13" s="7">
        <v>0.57635</v>
      </c>
      <c r="O13" s="7">
        <v>0.26335</v>
      </c>
      <c r="P13" s="7">
        <v>0.12695</v>
      </c>
      <c r="Q13" s="14">
        <v>141823.8127690635</v>
      </c>
      <c r="R13" s="14">
        <v>150000</v>
      </c>
      <c r="S13" s="14">
        <v>1878583.25791779</v>
      </c>
    </row>
    <row r="15" spans="1:19">
      <c r="A15" s="3" t="s">
        <v>1809</v>
      </c>
      <c r="B15" s="3" t="s">
        <v>1810</v>
      </c>
      <c r="C15" s="3" t="s">
        <v>1802</v>
      </c>
      <c r="D15" s="7">
        <v>0.1794</v>
      </c>
      <c r="E15" s="14">
        <v>17081.00608246627</v>
      </c>
      <c r="F15" s="14">
        <v>-87687.68494523886</v>
      </c>
      <c r="G15" s="14">
        <v>517367.9282360466</v>
      </c>
      <c r="H15" s="7">
        <v>0.1111</v>
      </c>
      <c r="I15" s="14">
        <v>-123328.4411228541</v>
      </c>
      <c r="J15" s="14">
        <v>-104464.6837187755</v>
      </c>
      <c r="K15" s="14">
        <v>-65788.02677080092</v>
      </c>
      <c r="L15" s="14">
        <v>395435.9407880221</v>
      </c>
      <c r="M15" s="14">
        <v>-92291.98177319096</v>
      </c>
      <c r="N15" s="7">
        <v>0.0859</v>
      </c>
      <c r="O15" s="7">
        <v>0.6376500000000001</v>
      </c>
      <c r="P15" s="7">
        <v>0.09705</v>
      </c>
      <c r="Q15" s="14">
        <v>112602.0011801846</v>
      </c>
      <c r="R15" s="14">
        <v>148099.7667052035</v>
      </c>
      <c r="S15" s="14">
        <v>564429.602556335</v>
      </c>
    </row>
    <row r="16" spans="1:19">
      <c r="A16" s="3" t="s">
        <v>1809</v>
      </c>
      <c r="B16" s="3" t="s">
        <v>1810</v>
      </c>
      <c r="C16" s="3" t="s">
        <v>1803</v>
      </c>
      <c r="D16" s="7">
        <v>0.02575</v>
      </c>
      <c r="E16" s="14">
        <v>-76921.95359773547</v>
      </c>
      <c r="F16" s="14">
        <v>-124792.8954947456</v>
      </c>
      <c r="G16" s="14">
        <v>1581754.223613748</v>
      </c>
      <c r="H16" s="7">
        <v>0.02375</v>
      </c>
      <c r="I16" s="14">
        <v>-131762.8498216804</v>
      </c>
      <c r="J16" s="14">
        <v>-128521.8461762248</v>
      </c>
      <c r="K16" s="14">
        <v>-117526.1200300627</v>
      </c>
      <c r="L16" s="14">
        <v>-81485.13677375067</v>
      </c>
      <c r="M16" s="14">
        <v>-120761.7396518239</v>
      </c>
      <c r="N16" s="7">
        <v>0.8435</v>
      </c>
      <c r="O16" s="7">
        <v>0.03275</v>
      </c>
      <c r="P16" s="7">
        <v>0.098</v>
      </c>
      <c r="Q16" s="14">
        <v>144547.3733376832</v>
      </c>
      <c r="R16" s="14">
        <v>150000</v>
      </c>
      <c r="S16" s="14">
        <v>2623461.51974388</v>
      </c>
    </row>
    <row r="17" spans="1:19">
      <c r="A17" s="3" t="s">
        <v>1809</v>
      </c>
      <c r="B17" s="3" t="s">
        <v>1810</v>
      </c>
      <c r="C17" s="3" t="s">
        <v>1804</v>
      </c>
      <c r="D17" s="7">
        <v>0.2215</v>
      </c>
      <c r="E17" s="14">
        <v>18512.79498982037</v>
      </c>
      <c r="F17" s="14">
        <v>-82787.02293552137</v>
      </c>
      <c r="G17" s="14">
        <v>398593.2977948459</v>
      </c>
      <c r="H17" s="7">
        <v>0.13785</v>
      </c>
      <c r="I17" s="14">
        <v>-121176.5961952736</v>
      </c>
      <c r="J17" s="14">
        <v>-99946.54216697215</v>
      </c>
      <c r="K17" s="14">
        <v>-57961.25032402387</v>
      </c>
      <c r="L17" s="14">
        <v>436364.6123053065</v>
      </c>
      <c r="M17" s="14">
        <v>-89628.2857697341</v>
      </c>
      <c r="N17" s="7">
        <v>0.05485</v>
      </c>
      <c r="O17" s="7">
        <v>0.62185</v>
      </c>
      <c r="P17" s="7">
        <v>0.1018</v>
      </c>
      <c r="Q17" s="14">
        <v>107967.4600855702</v>
      </c>
      <c r="R17" s="14">
        <v>142198.8375676695</v>
      </c>
      <c r="S17" s="14">
        <v>394739.8982281161</v>
      </c>
    </row>
    <row r="18" spans="1:19">
      <c r="A18" s="3" t="s">
        <v>1809</v>
      </c>
      <c r="B18" s="3" t="s">
        <v>1810</v>
      </c>
      <c r="C18" s="3" t="s">
        <v>1805</v>
      </c>
      <c r="D18" s="7">
        <v>0.13385</v>
      </c>
      <c r="E18" s="14">
        <v>-26618.24304166</v>
      </c>
      <c r="F18" s="14">
        <v>-90440.30480835005</v>
      </c>
      <c r="G18" s="14">
        <v>406049.977352148</v>
      </c>
      <c r="H18" s="7">
        <v>0.08055</v>
      </c>
      <c r="I18" s="14">
        <v>-125106.062085851</v>
      </c>
      <c r="J18" s="14">
        <v>-106715.0384189719</v>
      </c>
      <c r="K18" s="14">
        <v>-70719.27741220883</v>
      </c>
      <c r="L18" s="14">
        <v>156786.5072600367</v>
      </c>
      <c r="M18" s="14">
        <v>-93480.38158545867</v>
      </c>
      <c r="N18" s="7">
        <v>0.10445</v>
      </c>
      <c r="O18" s="7">
        <v>0.66135</v>
      </c>
      <c r="P18" s="7">
        <v>0.10035</v>
      </c>
      <c r="Q18" s="14">
        <v>114328.9685919825</v>
      </c>
      <c r="R18" s="14">
        <v>150000</v>
      </c>
      <c r="S18" s="14">
        <v>527784.9633235577</v>
      </c>
    </row>
    <row r="19" spans="1:19">
      <c r="A19" s="3" t="s">
        <v>1809</v>
      </c>
      <c r="B19" s="3" t="s">
        <v>1810</v>
      </c>
      <c r="C19" s="3" t="s">
        <v>1806</v>
      </c>
      <c r="D19" s="7">
        <v>0.02405</v>
      </c>
      <c r="E19" s="14">
        <v>-95288.97400410609</v>
      </c>
      <c r="F19" s="14">
        <v>-123795.7041933453</v>
      </c>
      <c r="G19" s="14">
        <v>889495.1091409358</v>
      </c>
      <c r="H19" s="7">
        <v>0.0219</v>
      </c>
      <c r="I19" s="14">
        <v>-132078.3109750901</v>
      </c>
      <c r="J19" s="14">
        <v>-128788.7281847057</v>
      </c>
      <c r="K19" s="14">
        <v>-111456.1960769007</v>
      </c>
      <c r="L19" s="14">
        <v>-89192.90901564169</v>
      </c>
      <c r="M19" s="14">
        <v>-119556.6692750096</v>
      </c>
      <c r="N19" s="7">
        <v>0.59865</v>
      </c>
      <c r="O19" s="7">
        <v>0.25035</v>
      </c>
      <c r="P19" s="7">
        <v>0.12695</v>
      </c>
      <c r="Q19" s="14">
        <v>142439.476779495</v>
      </c>
      <c r="R19" s="14">
        <v>150000</v>
      </c>
      <c r="S19" s="14">
        <v>1417315.29421545</v>
      </c>
    </row>
    <row r="21" spans="1:19">
      <c r="A21" s="3" t="s">
        <v>328</v>
      </c>
      <c r="B21" s="3" t="s">
        <v>1811</v>
      </c>
      <c r="C21" s="3" t="s">
        <v>1802</v>
      </c>
      <c r="D21" s="7">
        <v>0.11505</v>
      </c>
      <c r="E21" s="14">
        <v>5914.915158419472</v>
      </c>
      <c r="F21" s="14">
        <v>-114294.7959138515</v>
      </c>
      <c r="G21" s="14">
        <v>915112.9948462333</v>
      </c>
      <c r="H21" s="7">
        <v>0.09325</v>
      </c>
      <c r="I21" s="14">
        <v>-128839.6229447259</v>
      </c>
      <c r="J21" s="14">
        <v>-123213.1386375539</v>
      </c>
      <c r="K21" s="14">
        <v>-95804.13119832923</v>
      </c>
      <c r="L21" s="14">
        <v>506446.6634375614</v>
      </c>
      <c r="M21" s="14">
        <v>-112287.5133042993</v>
      </c>
      <c r="N21" s="7">
        <v>0.53845</v>
      </c>
      <c r="O21" s="7">
        <v>0.23225</v>
      </c>
      <c r="P21" s="7">
        <v>0.11425</v>
      </c>
      <c r="Q21" s="14">
        <v>138477.8166035899</v>
      </c>
      <c r="R21" s="14">
        <v>150000</v>
      </c>
      <c r="S21" s="14">
        <v>1095485.334904904</v>
      </c>
    </row>
    <row r="22" spans="1:19">
      <c r="A22" s="3" t="s">
        <v>328</v>
      </c>
      <c r="B22" s="3" t="s">
        <v>1811</v>
      </c>
      <c r="C22" s="3" t="s">
        <v>1803</v>
      </c>
      <c r="D22" s="7">
        <v>0.0035</v>
      </c>
      <c r="E22" s="14">
        <v>-118996.09176775</v>
      </c>
      <c r="F22" s="14">
        <v>-129122.2599732966</v>
      </c>
      <c r="G22" s="14">
        <v>2255086.620501262</v>
      </c>
      <c r="H22" s="7">
        <v>0.00345</v>
      </c>
      <c r="I22" s="14">
        <v>-136138.108445525</v>
      </c>
      <c r="J22" s="14">
        <v>-132536.4957935427</v>
      </c>
      <c r="K22" s="14">
        <v>-124248.5599898123</v>
      </c>
      <c r="L22" s="14">
        <v>-111368.9287195675</v>
      </c>
      <c r="M22" s="14">
        <v>-127334.5659202252</v>
      </c>
      <c r="N22" s="7">
        <v>0.92805</v>
      </c>
      <c r="O22" s="7">
        <v>0.00065</v>
      </c>
      <c r="P22" s="7">
        <v>0.0678</v>
      </c>
      <c r="Q22" s="14">
        <v>148553.1898864414</v>
      </c>
      <c r="R22" s="14">
        <v>150000</v>
      </c>
      <c r="S22" s="14">
        <v>2966276.957917027</v>
      </c>
    </row>
    <row r="23" spans="1:19">
      <c r="A23" s="3" t="s">
        <v>328</v>
      </c>
      <c r="B23" s="3" t="s">
        <v>1811</v>
      </c>
      <c r="C23" s="3" t="s">
        <v>1804</v>
      </c>
      <c r="D23" s="7">
        <v>0.15895</v>
      </c>
      <c r="E23" s="14">
        <v>15100.87542771567</v>
      </c>
      <c r="F23" s="14">
        <v>-110758.5889360444</v>
      </c>
      <c r="G23" s="14">
        <v>681745.881017661</v>
      </c>
      <c r="H23" s="7">
        <v>0.12925</v>
      </c>
      <c r="I23" s="14">
        <v>-128580.9198348448</v>
      </c>
      <c r="J23" s="14">
        <v>-122345.5059220721</v>
      </c>
      <c r="K23" s="14">
        <v>-88569.60469344728</v>
      </c>
      <c r="L23" s="14">
        <v>646827.5477166581</v>
      </c>
      <c r="M23" s="14">
        <v>-110888.3328696766</v>
      </c>
      <c r="N23" s="7">
        <v>0.4509</v>
      </c>
      <c r="O23" s="7">
        <v>0.27015</v>
      </c>
      <c r="P23" s="7">
        <v>0.12</v>
      </c>
      <c r="Q23" s="14">
        <v>135780.80840954</v>
      </c>
      <c r="R23" s="14">
        <v>150000</v>
      </c>
      <c r="S23" s="14">
        <v>779255.0190326329</v>
      </c>
    </row>
    <row r="24" spans="1:19">
      <c r="A24" s="3" t="s">
        <v>328</v>
      </c>
      <c r="B24" s="3" t="s">
        <v>1811</v>
      </c>
      <c r="C24" s="3" t="s">
        <v>1805</v>
      </c>
      <c r="D24" s="7">
        <v>0.08605</v>
      </c>
      <c r="E24" s="14">
        <v>-40785.54967353811</v>
      </c>
      <c r="F24" s="14">
        <v>-116301.7677848759</v>
      </c>
      <c r="G24" s="14">
        <v>728186.9384118434</v>
      </c>
      <c r="H24" s="7">
        <v>0.0672</v>
      </c>
      <c r="I24" s="14">
        <v>-129671.7491498199</v>
      </c>
      <c r="J24" s="14">
        <v>-124462.346790631</v>
      </c>
      <c r="K24" s="14">
        <v>-98966.06438057419</v>
      </c>
      <c r="L24" s="14">
        <v>187843.7711631922</v>
      </c>
      <c r="M24" s="14">
        <v>-113185.6619332318</v>
      </c>
      <c r="N24" s="7">
        <v>0.55755</v>
      </c>
      <c r="O24" s="7">
        <v>0.2396</v>
      </c>
      <c r="P24" s="7">
        <v>0.1168</v>
      </c>
      <c r="Q24" s="14">
        <v>138920.8388093443</v>
      </c>
      <c r="R24" s="14">
        <v>150000</v>
      </c>
      <c r="S24" s="14">
        <v>999170.5671506134</v>
      </c>
    </row>
    <row r="25" spans="1:19">
      <c r="A25" s="3" t="s">
        <v>328</v>
      </c>
      <c r="B25" s="3" t="s">
        <v>1811</v>
      </c>
      <c r="C25" s="3" t="s">
        <v>1806</v>
      </c>
      <c r="D25" s="7">
        <v>0.00765</v>
      </c>
      <c r="E25" s="14">
        <v>-117474.3155019891</v>
      </c>
      <c r="F25" s="14">
        <v>-131160.7914371206</v>
      </c>
      <c r="G25" s="14">
        <v>1308497.865831788</v>
      </c>
      <c r="H25" s="7">
        <v>0.0073</v>
      </c>
      <c r="I25" s="14">
        <v>-134400.389612888</v>
      </c>
      <c r="J25" s="14">
        <v>-133159.5558235089</v>
      </c>
      <c r="K25" s="14">
        <v>-126095.2582618278</v>
      </c>
      <c r="L25" s="14">
        <v>-111943.8289853245</v>
      </c>
      <c r="M25" s="14">
        <v>-128467.0974712573</v>
      </c>
      <c r="N25" s="7">
        <v>0.90525</v>
      </c>
      <c r="O25" s="7">
        <v>0.0339</v>
      </c>
      <c r="P25" s="7">
        <v>0.0532</v>
      </c>
      <c r="Q25" s="14">
        <v>148761.1925945716</v>
      </c>
      <c r="R25" s="14">
        <v>150000</v>
      </c>
      <c r="S25" s="14">
        <v>1684914.003991982</v>
      </c>
    </row>
    <row r="27" spans="1:19">
      <c r="A27" s="3" t="s">
        <v>1716</v>
      </c>
      <c r="B27" s="3" t="s">
        <v>1812</v>
      </c>
      <c r="C27" s="3" t="s">
        <v>1802</v>
      </c>
      <c r="D27" s="7">
        <v>0.6412</v>
      </c>
      <c r="E27" s="14">
        <v>345123.7770435257</v>
      </c>
      <c r="F27" s="14">
        <v>163055.6121695079</v>
      </c>
      <c r="G27" s="14">
        <v>570426.0540479111</v>
      </c>
      <c r="H27" s="7">
        <v>0.6089</v>
      </c>
      <c r="I27" s="14">
        <v>-73628.2159327054</v>
      </c>
      <c r="J27" s="14">
        <v>-51881.67161075449</v>
      </c>
      <c r="K27" s="14">
        <v>564362.3551354475</v>
      </c>
      <c r="L27" s="14">
        <v>1393468.675284273</v>
      </c>
      <c r="M27" s="14">
        <v>-57506.71352283973</v>
      </c>
      <c r="N27" s="7">
        <v>0.00055</v>
      </c>
      <c r="O27" s="7">
        <v>0.30115</v>
      </c>
      <c r="P27" s="7">
        <v>0.0571</v>
      </c>
      <c r="Q27" s="14">
        <v>63226.73325747012</v>
      </c>
      <c r="R27" s="14">
        <v>89421.09800907547</v>
      </c>
      <c r="S27" s="14">
        <v>900234.334695467</v>
      </c>
    </row>
    <row r="28" spans="1:19">
      <c r="A28" s="3" t="s">
        <v>1716</v>
      </c>
      <c r="B28" s="3" t="s">
        <v>1812</v>
      </c>
      <c r="C28" s="3" t="s">
        <v>1803</v>
      </c>
      <c r="D28" s="7">
        <v>0.26335</v>
      </c>
      <c r="E28" s="14">
        <v>96075.62516476998</v>
      </c>
      <c r="F28" s="14">
        <v>-102835.3292591054</v>
      </c>
      <c r="G28" s="14">
        <v>662160.9906759253</v>
      </c>
      <c r="H28" s="7">
        <v>0.255</v>
      </c>
      <c r="I28" s="14">
        <v>-126652.8083447369</v>
      </c>
      <c r="J28" s="14">
        <v>-116561.2517226722</v>
      </c>
      <c r="K28" s="14">
        <v>33043.01891594367</v>
      </c>
      <c r="L28" s="14">
        <v>1057167.905241569</v>
      </c>
      <c r="M28" s="14">
        <v>-106298.0679152039</v>
      </c>
      <c r="N28" s="7">
        <v>0.24585</v>
      </c>
      <c r="O28" s="7">
        <v>0.43115</v>
      </c>
      <c r="P28" s="7">
        <v>0.05965</v>
      </c>
      <c r="Q28" s="14">
        <v>127374.3823237256</v>
      </c>
      <c r="R28" s="14">
        <v>150000</v>
      </c>
      <c r="S28" s="14">
        <v>1169570.046042049</v>
      </c>
    </row>
    <row r="29" spans="1:19">
      <c r="A29" s="3" t="s">
        <v>1716</v>
      </c>
      <c r="B29" s="3" t="s">
        <v>1812</v>
      </c>
      <c r="C29" s="3" t="s">
        <v>1804</v>
      </c>
      <c r="D29" s="7">
        <v>0.6624</v>
      </c>
      <c r="E29" s="14">
        <v>267960.5293687175</v>
      </c>
      <c r="F29" s="14">
        <v>142425.8629745656</v>
      </c>
      <c r="G29" s="14">
        <v>433138.5106882581</v>
      </c>
      <c r="H29" s="7">
        <v>0.63335</v>
      </c>
      <c r="I29" s="14">
        <v>-71321.0212952657</v>
      </c>
      <c r="J29" s="14">
        <v>-47706.5599037055</v>
      </c>
      <c r="K29" s="14">
        <v>437562.01398862</v>
      </c>
      <c r="L29" s="14">
        <v>1073583.029693354</v>
      </c>
      <c r="M29" s="14">
        <v>-56132.76099284569</v>
      </c>
      <c r="N29" s="7">
        <v>0.0003</v>
      </c>
      <c r="O29" s="7">
        <v>0.27725</v>
      </c>
      <c r="P29" s="7">
        <v>0.06005</v>
      </c>
      <c r="Q29" s="14">
        <v>60632.14160962348</v>
      </c>
      <c r="R29" s="14">
        <v>86091.61002531309</v>
      </c>
      <c r="S29" s="14">
        <v>647352.5286340201</v>
      </c>
    </row>
    <row r="30" spans="1:19">
      <c r="A30" s="3" t="s">
        <v>1716</v>
      </c>
      <c r="B30" s="3" t="s">
        <v>1812</v>
      </c>
      <c r="C30" s="3" t="s">
        <v>1805</v>
      </c>
      <c r="D30" s="7">
        <v>0.521</v>
      </c>
      <c r="E30" s="14">
        <v>200865.5268681262</v>
      </c>
      <c r="F30" s="14">
        <v>-25903.00743711437</v>
      </c>
      <c r="G30" s="14">
        <v>439958.0869268974</v>
      </c>
      <c r="H30" s="7">
        <v>0.48475</v>
      </c>
      <c r="I30" s="14">
        <v>-78493.70777709529</v>
      </c>
      <c r="J30" s="14">
        <v>-59490.42515325407</v>
      </c>
      <c r="K30" s="14">
        <v>338440.5244868969</v>
      </c>
      <c r="L30" s="14">
        <v>1020812.052072299</v>
      </c>
      <c r="M30" s="14">
        <v>-59191.30776782317</v>
      </c>
      <c r="N30" s="7">
        <v>0.0008</v>
      </c>
      <c r="O30" s="7">
        <v>0.4176</v>
      </c>
      <c r="P30" s="7">
        <v>0.0606</v>
      </c>
      <c r="Q30" s="14">
        <v>66646.13287685999</v>
      </c>
      <c r="R30" s="14">
        <v>93534.35367616767</v>
      </c>
      <c r="S30" s="14">
        <v>767030.8363062437</v>
      </c>
    </row>
    <row r="31" spans="1:19">
      <c r="A31" s="3" t="s">
        <v>1716</v>
      </c>
      <c r="B31" s="3" t="s">
        <v>1812</v>
      </c>
      <c r="C31" s="3" t="s">
        <v>1806</v>
      </c>
      <c r="D31" s="7">
        <v>0.19285</v>
      </c>
      <c r="E31" s="14">
        <v>63825.35444262128</v>
      </c>
      <c r="F31" s="14">
        <v>-85926.48949888736</v>
      </c>
      <c r="G31" s="14">
        <v>715952.4860241183</v>
      </c>
      <c r="H31" s="7">
        <v>0.1925</v>
      </c>
      <c r="I31" s="14">
        <v>-119669.7382947561</v>
      </c>
      <c r="J31" s="14">
        <v>-99775.52480421249</v>
      </c>
      <c r="K31" s="14">
        <v>-69231.02057555434</v>
      </c>
      <c r="L31" s="14">
        <v>921869.0235023858</v>
      </c>
      <c r="M31" s="14">
        <v>-91985.48285588788</v>
      </c>
      <c r="N31" s="7">
        <v>0.05045</v>
      </c>
      <c r="O31" s="7">
        <v>0.5572</v>
      </c>
      <c r="P31" s="7">
        <v>0.1995</v>
      </c>
      <c r="Q31" s="14">
        <v>111122.9358371547</v>
      </c>
      <c r="R31" s="14">
        <v>140576.6710246251</v>
      </c>
      <c r="S31" s="14">
        <v>1185571.536110732</v>
      </c>
    </row>
    <row r="33" spans="1:19">
      <c r="A33" s="3" t="s">
        <v>1813</v>
      </c>
      <c r="B33" s="3" t="s">
        <v>1814</v>
      </c>
      <c r="C33" s="3" t="s">
        <v>1802</v>
      </c>
      <c r="D33" s="7">
        <v>0.2073</v>
      </c>
      <c r="E33" s="14">
        <v>-30559.70908867214</v>
      </c>
      <c r="F33" s="14">
        <v>-50514.70771786542</v>
      </c>
      <c r="G33" s="14">
        <v>55835.04943629778</v>
      </c>
      <c r="H33" s="7">
        <v>0.11425</v>
      </c>
      <c r="I33" s="14">
        <v>-69379.62119803469</v>
      </c>
      <c r="J33" s="14">
        <v>-58767.83410399726</v>
      </c>
      <c r="K33" s="14">
        <v>-39381.33936835629</v>
      </c>
      <c r="L33" s="14">
        <v>96276.56128083002</v>
      </c>
      <c r="M33" s="14">
        <v>-53152.9138852235</v>
      </c>
      <c r="N33" s="7">
        <v>0.0003</v>
      </c>
      <c r="O33" s="7">
        <v>0.69535</v>
      </c>
      <c r="P33" s="7">
        <v>0.09705</v>
      </c>
      <c r="Q33" s="14">
        <v>67403.90229985386</v>
      </c>
      <c r="R33" s="14">
        <v>83784.4715521655</v>
      </c>
      <c r="S33" s="14">
        <v>352495.4204088968</v>
      </c>
    </row>
    <row r="34" spans="1:19">
      <c r="A34" s="3" t="s">
        <v>1813</v>
      </c>
      <c r="B34" s="3" t="s">
        <v>1814</v>
      </c>
      <c r="C34" s="3" t="s">
        <v>1803</v>
      </c>
      <c r="D34" s="7">
        <v>0.0213</v>
      </c>
      <c r="E34" s="14">
        <v>-105489.4716376762</v>
      </c>
      <c r="F34" s="14">
        <v>-112386.0096615673</v>
      </c>
      <c r="G34" s="14">
        <v>85732.92225571988</v>
      </c>
      <c r="H34" s="7">
        <v>0.0137</v>
      </c>
      <c r="I34" s="14">
        <v>-127907.9164716427</v>
      </c>
      <c r="J34" s="14">
        <v>-120485.3922945995</v>
      </c>
      <c r="K34" s="14">
        <v>-102167.0231966105</v>
      </c>
      <c r="L34" s="14">
        <v>-69245.26334357848</v>
      </c>
      <c r="M34" s="14">
        <v>-109651.152428449</v>
      </c>
      <c r="N34" s="7">
        <v>0.205</v>
      </c>
      <c r="O34" s="7">
        <v>0.6751</v>
      </c>
      <c r="P34" s="7">
        <v>0.09859999999999999</v>
      </c>
      <c r="Q34" s="14">
        <v>134427.4348566685</v>
      </c>
      <c r="R34" s="14">
        <v>150000</v>
      </c>
      <c r="S34" s="14">
        <v>661382.0656722283</v>
      </c>
    </row>
    <row r="35" spans="1:19">
      <c r="A35" s="3" t="s">
        <v>1813</v>
      </c>
      <c r="B35" s="3" t="s">
        <v>1814</v>
      </c>
      <c r="C35" s="3" t="s">
        <v>1804</v>
      </c>
      <c r="D35" s="7">
        <v>0.2116</v>
      </c>
      <c r="E35" s="14">
        <v>-30277.18586602259</v>
      </c>
      <c r="F35" s="14">
        <v>-49672.36173439624</v>
      </c>
      <c r="G35" s="14">
        <v>52524.30642777829</v>
      </c>
      <c r="H35" s="7">
        <v>0.116</v>
      </c>
      <c r="I35" s="14">
        <v>-68805.11936252273</v>
      </c>
      <c r="J35" s="14">
        <v>-57745.62301055552</v>
      </c>
      <c r="K35" s="14">
        <v>-38212.12693486271</v>
      </c>
      <c r="L35" s="14">
        <v>94432.86169581542</v>
      </c>
      <c r="M35" s="14">
        <v>-52500.41743549021</v>
      </c>
      <c r="N35" s="7">
        <v>0.0001</v>
      </c>
      <c r="O35" s="7">
        <v>0.6865</v>
      </c>
      <c r="P35" s="7">
        <v>0.1018</v>
      </c>
      <c r="Q35" s="14">
        <v>66231.45517306429</v>
      </c>
      <c r="R35" s="14">
        <v>82914.15970850129</v>
      </c>
      <c r="S35" s="14">
        <v>311872.0876401998</v>
      </c>
    </row>
    <row r="36" spans="1:19">
      <c r="A36" s="3" t="s">
        <v>1813</v>
      </c>
      <c r="B36" s="3" t="s">
        <v>1814</v>
      </c>
      <c r="C36" s="3" t="s">
        <v>1805</v>
      </c>
      <c r="D36" s="7">
        <v>0.1589</v>
      </c>
      <c r="E36" s="14">
        <v>-38013.30144938084</v>
      </c>
      <c r="F36" s="14">
        <v>-51428.46185974587</v>
      </c>
      <c r="G36" s="14">
        <v>43499.03832171384</v>
      </c>
      <c r="H36" s="7">
        <v>0.0818</v>
      </c>
      <c r="I36" s="14">
        <v>-70133.53309424147</v>
      </c>
      <c r="J36" s="14">
        <v>-59575.07875193772</v>
      </c>
      <c r="K36" s="14">
        <v>-41883.20477524515</v>
      </c>
      <c r="L36" s="14">
        <v>49657.42271439243</v>
      </c>
      <c r="M36" s="14">
        <v>-53412.55336904193</v>
      </c>
      <c r="N36" s="7">
        <v>0.00035</v>
      </c>
      <c r="O36" s="7">
        <v>0.7403999999999999</v>
      </c>
      <c r="P36" s="7">
        <v>0.10035</v>
      </c>
      <c r="Q36" s="14">
        <v>67550.16024889667</v>
      </c>
      <c r="R36" s="14">
        <v>84074.80664371241</v>
      </c>
      <c r="S36" s="14">
        <v>331227.0272173039</v>
      </c>
    </row>
    <row r="37" spans="1:19">
      <c r="A37" s="3" t="s">
        <v>1813</v>
      </c>
      <c r="B37" s="3" t="s">
        <v>1814</v>
      </c>
      <c r="C37" s="3" t="s">
        <v>1806</v>
      </c>
      <c r="D37" s="7">
        <v>0.0916</v>
      </c>
      <c r="E37" s="14">
        <v>-56404.4652302431</v>
      </c>
      <c r="F37" s="14">
        <v>-66000.84709906639</v>
      </c>
      <c r="G37" s="14">
        <v>63149.53306450375</v>
      </c>
      <c r="H37" s="7">
        <v>0.0584</v>
      </c>
      <c r="I37" s="14">
        <v>-89495.40084661027</v>
      </c>
      <c r="J37" s="14">
        <v>-75300.44138047937</v>
      </c>
      <c r="K37" s="14">
        <v>-56942.77872311846</v>
      </c>
      <c r="L37" s="14">
        <v>15390.82785921715</v>
      </c>
      <c r="M37" s="14">
        <v>-68459.88821989392</v>
      </c>
      <c r="N37" s="7">
        <v>0.0005999999999999999</v>
      </c>
      <c r="O37" s="7">
        <v>0.70485</v>
      </c>
      <c r="P37" s="7">
        <v>0.20295</v>
      </c>
      <c r="Q37" s="14">
        <v>85443.18951693711</v>
      </c>
      <c r="R37" s="14">
        <v>107176.796789858</v>
      </c>
      <c r="S37" s="14">
        <v>475307.857338434</v>
      </c>
    </row>
    <row r="39" spans="1:19">
      <c r="A39" s="3" t="s">
        <v>1815</v>
      </c>
      <c r="B39" s="3" t="s">
        <v>1816</v>
      </c>
      <c r="C39" s="3" t="s">
        <v>1802</v>
      </c>
      <c r="D39" s="7">
        <v>0.04065</v>
      </c>
      <c r="E39" s="14">
        <v>-71627.3372950707</v>
      </c>
      <c r="F39" s="14">
        <v>-73660.92980613501</v>
      </c>
      <c r="G39" s="14">
        <v>-19285.78577014491</v>
      </c>
      <c r="H39" s="7">
        <v>0.012</v>
      </c>
      <c r="I39" s="14">
        <v>-96941.36966082519</v>
      </c>
      <c r="J39" s="14">
        <v>-83728.33392195489</v>
      </c>
      <c r="K39" s="14">
        <v>-63012.49409805363</v>
      </c>
      <c r="L39" s="14">
        <v>-45357.21039143093</v>
      </c>
      <c r="M39" s="14">
        <v>-73845.17652943588</v>
      </c>
      <c r="N39" s="7">
        <v>0.00215</v>
      </c>
      <c r="O39" s="7">
        <v>0.84035</v>
      </c>
      <c r="P39" s="7">
        <v>0.11685</v>
      </c>
      <c r="Q39" s="14">
        <v>92607.82324627483</v>
      </c>
      <c r="R39" s="14">
        <v>114679.1917856613</v>
      </c>
      <c r="S39" s="14">
        <v>308936.5605484885</v>
      </c>
    </row>
    <row r="40" spans="1:19">
      <c r="A40" s="3" t="s">
        <v>1815</v>
      </c>
      <c r="B40" s="3" t="s">
        <v>1816</v>
      </c>
      <c r="C40" s="3" t="s">
        <v>1803</v>
      </c>
      <c r="D40" s="7">
        <v>0.00075</v>
      </c>
      <c r="E40" s="14">
        <v>-121167.1750973008</v>
      </c>
      <c r="F40" s="14">
        <v>-125998.765709048</v>
      </c>
      <c r="G40" s="14">
        <v>-35359.44575607975</v>
      </c>
      <c r="H40" s="7">
        <v>0.00015</v>
      </c>
      <c r="I40" s="14">
        <v>-131222.4116892803</v>
      </c>
      <c r="J40" s="14">
        <v>-128755.6256433355</v>
      </c>
      <c r="K40" s="14">
        <v>-120679.1033801937</v>
      </c>
      <c r="L40" s="14">
        <v>-85929.56715351847</v>
      </c>
      <c r="M40" s="14">
        <v>-121231.5791973818</v>
      </c>
      <c r="N40" s="7">
        <v>0.79355</v>
      </c>
      <c r="O40" s="7">
        <v>0.08774999999999999</v>
      </c>
      <c r="P40" s="7">
        <v>0.11795</v>
      </c>
      <c r="Q40" s="14">
        <v>143676.0394136135</v>
      </c>
      <c r="R40" s="14">
        <v>150000</v>
      </c>
      <c r="S40" s="14">
        <v>527192.8639189685</v>
      </c>
    </row>
    <row r="41" spans="1:19">
      <c r="A41" s="3" t="s">
        <v>1815</v>
      </c>
      <c r="B41" s="3" t="s">
        <v>1816</v>
      </c>
      <c r="C41" s="3" t="s">
        <v>1804</v>
      </c>
      <c r="D41" s="7">
        <v>0.05465</v>
      </c>
      <c r="E41" s="14">
        <v>-68671.36434352987</v>
      </c>
      <c r="F41" s="14">
        <v>-70834.70152420408</v>
      </c>
      <c r="G41" s="14">
        <v>-19326.17703777143</v>
      </c>
      <c r="H41" s="7">
        <v>0.0142</v>
      </c>
      <c r="I41" s="14">
        <v>-94585.93286430395</v>
      </c>
      <c r="J41" s="14">
        <v>-80620.27515790318</v>
      </c>
      <c r="K41" s="14">
        <v>-60385.06437201003</v>
      </c>
      <c r="L41" s="14">
        <v>-41033.17904840881</v>
      </c>
      <c r="M41" s="14">
        <v>-71523.97394448158</v>
      </c>
      <c r="N41" s="7">
        <v>0.00075</v>
      </c>
      <c r="O41" s="7">
        <v>0.8228</v>
      </c>
      <c r="P41" s="7">
        <v>0.1218</v>
      </c>
      <c r="Q41" s="14">
        <v>88998.45656357327</v>
      </c>
      <c r="R41" s="14">
        <v>111004.8043737621</v>
      </c>
      <c r="S41" s="14">
        <v>233752.9608222083</v>
      </c>
    </row>
    <row r="42" spans="1:19">
      <c r="A42" s="3" t="s">
        <v>1815</v>
      </c>
      <c r="B42" s="3" t="s">
        <v>1816</v>
      </c>
      <c r="C42" s="3" t="s">
        <v>1805</v>
      </c>
      <c r="D42" s="7">
        <v>0.0272</v>
      </c>
      <c r="E42" s="14">
        <v>-73282.06857938027</v>
      </c>
      <c r="F42" s="14">
        <v>-74731.19144556571</v>
      </c>
      <c r="G42" s="14">
        <v>-26945.29471200014</v>
      </c>
      <c r="H42" s="7">
        <v>0.00665</v>
      </c>
      <c r="I42" s="14">
        <v>-98011.64879859429</v>
      </c>
      <c r="J42" s="14">
        <v>-84659.1019077447</v>
      </c>
      <c r="K42" s="14">
        <v>-64167.72892982916</v>
      </c>
      <c r="L42" s="14">
        <v>-46645.62638667518</v>
      </c>
      <c r="M42" s="14">
        <v>-74577.66916448793</v>
      </c>
      <c r="N42" s="7">
        <v>0.00135</v>
      </c>
      <c r="O42" s="7">
        <v>0.8511</v>
      </c>
      <c r="P42" s="7">
        <v>0.12035</v>
      </c>
      <c r="Q42" s="14">
        <v>92948.91964057021</v>
      </c>
      <c r="R42" s="14">
        <v>115359.6068335055</v>
      </c>
      <c r="S42" s="14">
        <v>294321.0697773689</v>
      </c>
    </row>
    <row r="43" spans="1:19">
      <c r="A43" s="3" t="s">
        <v>1815</v>
      </c>
      <c r="B43" s="3" t="s">
        <v>1816</v>
      </c>
      <c r="C43" s="3" t="s">
        <v>1806</v>
      </c>
      <c r="D43" s="7">
        <v>0.00735</v>
      </c>
      <c r="E43" s="14">
        <v>-92993.53791064965</v>
      </c>
      <c r="F43" s="14">
        <v>-92649.35762469374</v>
      </c>
      <c r="G43" s="14">
        <v>-3170.504459830141</v>
      </c>
      <c r="H43" s="7">
        <v>0.0032</v>
      </c>
      <c r="I43" s="14">
        <v>-122461.3122365634</v>
      </c>
      <c r="J43" s="14">
        <v>-104880.2675395056</v>
      </c>
      <c r="K43" s="14">
        <v>-81622.00989010345</v>
      </c>
      <c r="L43" s="14">
        <v>-67609.75367280225</v>
      </c>
      <c r="M43" s="14">
        <v>-93658.62560103752</v>
      </c>
      <c r="N43" s="7">
        <v>0.0667</v>
      </c>
      <c r="O43" s="7">
        <v>0.72645</v>
      </c>
      <c r="P43" s="7">
        <v>0.1995</v>
      </c>
      <c r="Q43" s="14">
        <v>114769.9540840003</v>
      </c>
      <c r="R43" s="14">
        <v>144382.6827299154</v>
      </c>
      <c r="S43" s="14">
        <v>383423.4291938501</v>
      </c>
    </row>
    <row r="45" spans="1:19">
      <c r="A45" s="3" t="s">
        <v>1817</v>
      </c>
      <c r="B45" s="3" t="s">
        <v>1818</v>
      </c>
      <c r="C45" s="3" t="s">
        <v>1802</v>
      </c>
      <c r="D45" s="7">
        <v>0.04675</v>
      </c>
      <c r="E45" s="14">
        <v>-48161.79335091281</v>
      </c>
      <c r="F45" s="14">
        <v>-48471.01572324066</v>
      </c>
      <c r="G45" s="14">
        <v>-45941.3914455675</v>
      </c>
      <c r="H45" s="7">
        <v>0.00505</v>
      </c>
      <c r="I45" s="14">
        <v>-64013.5699350771</v>
      </c>
      <c r="J45" s="14">
        <v>-54608.90816664305</v>
      </c>
      <c r="K45" s="14">
        <v>-42274.99362673231</v>
      </c>
      <c r="L45" s="14">
        <v>-31810.84957063401</v>
      </c>
      <c r="M45" s="14">
        <v>-48270.68796310783</v>
      </c>
      <c r="N45" s="7">
        <v>0.00335</v>
      </c>
      <c r="O45" s="7">
        <v>0.83305</v>
      </c>
      <c r="P45" s="7">
        <v>0.11685</v>
      </c>
      <c r="Q45" s="14">
        <v>62571.31106959117</v>
      </c>
      <c r="R45" s="14">
        <v>75900.13269588891</v>
      </c>
      <c r="S45" s="14">
        <v>148335.0298220538</v>
      </c>
    </row>
    <row r="46" spans="1:19">
      <c r="A46" s="3" t="s">
        <v>1817</v>
      </c>
      <c r="B46" s="3" t="s">
        <v>1818</v>
      </c>
      <c r="C46" s="3" t="s">
        <v>1803</v>
      </c>
      <c r="D46" s="7">
        <v>0.00025</v>
      </c>
      <c r="E46" s="14">
        <v>-108151.8445761596</v>
      </c>
      <c r="F46" s="14">
        <v>-110508.022981014</v>
      </c>
      <c r="G46" s="14">
        <v>-86294.9683689682</v>
      </c>
      <c r="H46" s="7">
        <v>0</v>
      </c>
      <c r="I46" s="14">
        <v>-124997.1809519405</v>
      </c>
      <c r="J46" s="14">
        <v>-116723.1232943892</v>
      </c>
      <c r="K46" s="14">
        <v>-103516.3141130772</v>
      </c>
      <c r="L46" s="14">
        <v>-77318.23100661063</v>
      </c>
      <c r="M46" s="14">
        <v>-108157.3101616077</v>
      </c>
      <c r="N46" s="7">
        <v>0.07645</v>
      </c>
      <c r="O46" s="7">
        <v>0.805</v>
      </c>
      <c r="P46" s="7">
        <v>0.1183</v>
      </c>
      <c r="Q46" s="14">
        <v>130714.5899244834</v>
      </c>
      <c r="R46" s="14">
        <v>148195.0450820729</v>
      </c>
      <c r="S46" s="14">
        <v>308483.6197279584</v>
      </c>
    </row>
    <row r="47" spans="1:19">
      <c r="A47" s="3" t="s">
        <v>1817</v>
      </c>
      <c r="B47" s="3" t="s">
        <v>1818</v>
      </c>
      <c r="C47" s="3" t="s">
        <v>1804</v>
      </c>
      <c r="D47" s="7">
        <v>0.0569</v>
      </c>
      <c r="E47" s="14">
        <v>-45849.7756317407</v>
      </c>
      <c r="F47" s="14">
        <v>-46455.2845514779</v>
      </c>
      <c r="G47" s="14">
        <v>-36107.85382430536</v>
      </c>
      <c r="H47" s="7">
        <v>0.00655</v>
      </c>
      <c r="I47" s="14">
        <v>-61271.98306587546</v>
      </c>
      <c r="J47" s="14">
        <v>-52251.74148712398</v>
      </c>
      <c r="K47" s="14">
        <v>-40337.19672097616</v>
      </c>
      <c r="L47" s="14">
        <v>-29693.70207865928</v>
      </c>
      <c r="M47" s="14">
        <v>-46437.53445990641</v>
      </c>
      <c r="N47" s="7">
        <v>0.0011</v>
      </c>
      <c r="O47" s="7">
        <v>0.8202</v>
      </c>
      <c r="P47" s="7">
        <v>0.1218</v>
      </c>
      <c r="Q47" s="14">
        <v>59476.37570179231</v>
      </c>
      <c r="R47" s="14">
        <v>72913.86863461387</v>
      </c>
      <c r="S47" s="14">
        <v>116966.69202308</v>
      </c>
    </row>
    <row r="48" spans="1:19">
      <c r="A48" s="3" t="s">
        <v>1817</v>
      </c>
      <c r="B48" s="3" t="s">
        <v>1818</v>
      </c>
      <c r="C48" s="3" t="s">
        <v>1805</v>
      </c>
      <c r="D48" s="7">
        <v>0.03275</v>
      </c>
      <c r="E48" s="14">
        <v>-48442.55334570376</v>
      </c>
      <c r="F48" s="14">
        <v>-48563.7350536936</v>
      </c>
      <c r="G48" s="14">
        <v>-49939.36035689392</v>
      </c>
      <c r="H48" s="7">
        <v>0.00255</v>
      </c>
      <c r="I48" s="14">
        <v>-63673.05185240432</v>
      </c>
      <c r="J48" s="14">
        <v>-54613.2864610403</v>
      </c>
      <c r="K48" s="14">
        <v>-42514.65527133387</v>
      </c>
      <c r="L48" s="14">
        <v>-32198.02145536834</v>
      </c>
      <c r="M48" s="14">
        <v>-48391.87313932849</v>
      </c>
      <c r="N48" s="7">
        <v>0.0029</v>
      </c>
      <c r="O48" s="7">
        <v>0.844</v>
      </c>
      <c r="P48" s="7">
        <v>0.12035</v>
      </c>
      <c r="Q48" s="14">
        <v>62136.96634347997</v>
      </c>
      <c r="R48" s="14">
        <v>75349.12293759589</v>
      </c>
      <c r="S48" s="14">
        <v>139416.0138308667</v>
      </c>
    </row>
    <row r="49" spans="1:19">
      <c r="A49" s="3" t="s">
        <v>1817</v>
      </c>
      <c r="B49" s="3" t="s">
        <v>1818</v>
      </c>
      <c r="C49" s="3" t="s">
        <v>1806</v>
      </c>
      <c r="D49" s="7">
        <v>0.01545</v>
      </c>
      <c r="E49" s="14">
        <v>-58556.1767161547</v>
      </c>
      <c r="F49" s="14">
        <v>-57908.76981529348</v>
      </c>
      <c r="G49" s="14">
        <v>-34994.1651952991</v>
      </c>
      <c r="H49" s="7">
        <v>0.0023</v>
      </c>
      <c r="I49" s="14">
        <v>-78481.66220648834</v>
      </c>
      <c r="J49" s="14">
        <v>-65924.19371795296</v>
      </c>
      <c r="K49" s="14">
        <v>-50882.37680878893</v>
      </c>
      <c r="L49" s="14">
        <v>-41797.48369644685</v>
      </c>
      <c r="M49" s="14">
        <v>-58925.92236441756</v>
      </c>
      <c r="N49" s="7">
        <v>0.0001</v>
      </c>
      <c r="O49" s="7">
        <v>0.7815</v>
      </c>
      <c r="P49" s="7">
        <v>0.20295</v>
      </c>
      <c r="Q49" s="14">
        <v>74083.75261172332</v>
      </c>
      <c r="R49" s="14">
        <v>93670.43162557427</v>
      </c>
      <c r="S49" s="14">
        <v>186435.9748281794</v>
      </c>
    </row>
    <row r="51" spans="1:19">
      <c r="A51" s="3" t="s">
        <v>1819</v>
      </c>
      <c r="B51" s="3" t="s">
        <v>1820</v>
      </c>
      <c r="C51" s="3" t="s">
        <v>1802</v>
      </c>
      <c r="D51" s="7">
        <v>0.00355</v>
      </c>
      <c r="E51" s="14">
        <v>-80794.26293351233</v>
      </c>
      <c r="F51" s="14">
        <v>-81033.4509425764</v>
      </c>
      <c r="G51" s="14">
        <v>-50054.42506040094</v>
      </c>
      <c r="H51" s="7">
        <v>0.0004</v>
      </c>
      <c r="I51" s="14">
        <v>-103211.2059340723</v>
      </c>
      <c r="J51" s="14">
        <v>-90410.67321107032</v>
      </c>
      <c r="K51" s="14">
        <v>-71710.27871923668</v>
      </c>
      <c r="L51" s="14">
        <v>-57175.41643223711</v>
      </c>
      <c r="M51" s="14">
        <v>-80903.77813693402</v>
      </c>
      <c r="N51" s="7">
        <v>0.0009</v>
      </c>
      <c r="O51" s="7">
        <v>0.8787</v>
      </c>
      <c r="P51" s="7">
        <v>0.11685</v>
      </c>
      <c r="Q51" s="14">
        <v>99923.51306251361</v>
      </c>
      <c r="R51" s="14">
        <v>120929.5285123943</v>
      </c>
      <c r="S51" s="14">
        <v>236897.6136979855</v>
      </c>
    </row>
    <row r="52" spans="1:19">
      <c r="A52" s="3" t="s">
        <v>1819</v>
      </c>
      <c r="B52" s="3" t="s">
        <v>1820</v>
      </c>
      <c r="C52" s="3" t="s">
        <v>1803</v>
      </c>
      <c r="D52" s="7">
        <v>0</v>
      </c>
      <c r="E52" s="14">
        <v>-125744.1799596155</v>
      </c>
      <c r="F52" s="14">
        <v>-128661.09401136</v>
      </c>
      <c r="G52" s="14" t="e">
        <f>#NUM!</f>
        <v>#NUM!</v>
      </c>
      <c r="H52" s="7">
        <v>0</v>
      </c>
      <c r="I52" s="14">
        <v>-132649.0404656797</v>
      </c>
      <c r="J52" s="14">
        <v>-130700.5579491775</v>
      </c>
      <c r="K52" s="14">
        <v>-125376.6307698129</v>
      </c>
      <c r="L52" s="14">
        <v>-102743.1813198935</v>
      </c>
      <c r="M52" s="14">
        <v>-125744.1799596155</v>
      </c>
      <c r="N52" s="7">
        <v>0.87255</v>
      </c>
      <c r="O52" s="7">
        <v>0.02425</v>
      </c>
      <c r="P52" s="7">
        <v>0.1032</v>
      </c>
      <c r="Q52" s="14">
        <v>146479.3370226785</v>
      </c>
      <c r="R52" s="14">
        <v>150000</v>
      </c>
      <c r="S52" s="14" t="e">
        <f>#NUM!</f>
        <v>#NUM!</v>
      </c>
    </row>
    <row r="53" spans="1:19">
      <c r="A53" s="3" t="s">
        <v>1819</v>
      </c>
      <c r="B53" s="3" t="s">
        <v>1820</v>
      </c>
      <c r="C53" s="3" t="s">
        <v>1804</v>
      </c>
      <c r="D53" s="7">
        <v>0.0055</v>
      </c>
      <c r="E53" s="14">
        <v>-77977.80990247414</v>
      </c>
      <c r="F53" s="14">
        <v>-78150.82300372442</v>
      </c>
      <c r="G53" s="14">
        <v>-51690.95747119521</v>
      </c>
      <c r="H53" s="7">
        <v>0.00015</v>
      </c>
      <c r="I53" s="14">
        <v>-100574.3598163336</v>
      </c>
      <c r="J53" s="14">
        <v>-87190.82514230176</v>
      </c>
      <c r="K53" s="14">
        <v>-69067.81713112544</v>
      </c>
      <c r="L53" s="14">
        <v>-54367.00091845285</v>
      </c>
      <c r="M53" s="14">
        <v>-78123.18716579444</v>
      </c>
      <c r="N53" s="7">
        <v>0.00065</v>
      </c>
      <c r="O53" s="7">
        <v>0.87205</v>
      </c>
      <c r="P53" s="7">
        <v>0.1218</v>
      </c>
      <c r="Q53" s="14">
        <v>96250.12803365268</v>
      </c>
      <c r="R53" s="14">
        <v>117251.5039313353</v>
      </c>
      <c r="S53" s="14">
        <v>173061.3260361088</v>
      </c>
    </row>
    <row r="54" spans="1:19">
      <c r="A54" s="3" t="s">
        <v>1819</v>
      </c>
      <c r="B54" s="3" t="s">
        <v>1820</v>
      </c>
      <c r="C54" s="3" t="s">
        <v>1805</v>
      </c>
      <c r="D54" s="7">
        <v>0.002</v>
      </c>
      <c r="E54" s="14">
        <v>-81128.08974704922</v>
      </c>
      <c r="F54" s="14">
        <v>-81388.16743492402</v>
      </c>
      <c r="G54" s="14">
        <v>-60772.79992100618</v>
      </c>
      <c r="H54" s="7">
        <v>5E-05</v>
      </c>
      <c r="I54" s="14">
        <v>-103493.0763333961</v>
      </c>
      <c r="J54" s="14">
        <v>-90758.66488834572</v>
      </c>
      <c r="K54" s="14">
        <v>-72040.84719355703</v>
      </c>
      <c r="L54" s="14">
        <v>-57018.45081435076</v>
      </c>
      <c r="M54" s="14">
        <v>-81168.88191102927</v>
      </c>
      <c r="N54" s="7">
        <v>0.00085</v>
      </c>
      <c r="O54" s="7">
        <v>0.8768</v>
      </c>
      <c r="P54" s="7">
        <v>0.12035</v>
      </c>
      <c r="Q54" s="14">
        <v>99821.24586576331</v>
      </c>
      <c r="R54" s="14">
        <v>121001.8748556953</v>
      </c>
      <c r="S54" s="14">
        <v>200150.601449714</v>
      </c>
    </row>
    <row r="55" spans="1:19">
      <c r="A55" s="3" t="s">
        <v>1819</v>
      </c>
      <c r="B55" s="3" t="s">
        <v>1820</v>
      </c>
      <c r="C55" s="3" t="s">
        <v>1806</v>
      </c>
      <c r="D55" s="7">
        <v>0.0008</v>
      </c>
      <c r="E55" s="14">
        <v>-94738.9176919353</v>
      </c>
      <c r="F55" s="14">
        <v>-94064.05340821516</v>
      </c>
      <c r="G55" s="14">
        <v>-31420.45634230946</v>
      </c>
      <c r="H55" s="7">
        <v>0.0001</v>
      </c>
      <c r="I55" s="14">
        <v>-122980.4841356162</v>
      </c>
      <c r="J55" s="14">
        <v>-106200.1996027073</v>
      </c>
      <c r="K55" s="14">
        <v>-83054.6273352305</v>
      </c>
      <c r="L55" s="14">
        <v>-69554.2153831498</v>
      </c>
      <c r="M55" s="14">
        <v>-94789.61301727527</v>
      </c>
      <c r="N55" s="7">
        <v>0.0736</v>
      </c>
      <c r="O55" s="7">
        <v>0.7261</v>
      </c>
      <c r="P55" s="7">
        <v>0.1995</v>
      </c>
      <c r="Q55" s="14">
        <v>115929.8643712731</v>
      </c>
      <c r="R55" s="14">
        <v>145732.1921372385</v>
      </c>
      <c r="S55" s="14">
        <v>246150.046244429</v>
      </c>
    </row>
    <row r="57" spans="1:19">
      <c r="A57" s="3" t="s">
        <v>947</v>
      </c>
      <c r="B57" s="3" t="s">
        <v>1821</v>
      </c>
      <c r="C57" s="3" t="s">
        <v>1802</v>
      </c>
      <c r="D57" s="7">
        <v>0.0254</v>
      </c>
      <c r="E57" s="14">
        <v>13542.80903708226</v>
      </c>
      <c r="F57" s="14">
        <v>-135898.8538522823</v>
      </c>
      <c r="G57" s="14">
        <v>5681844.514251078</v>
      </c>
      <c r="H57" s="7">
        <v>0.0254</v>
      </c>
      <c r="I57" s="14">
        <v>-138374.2024284615</v>
      </c>
      <c r="J57" s="14">
        <v>-137079.8460798186</v>
      </c>
      <c r="K57" s="14">
        <v>-134296.6491146926</v>
      </c>
      <c r="L57" s="14">
        <v>-109284.0496446519</v>
      </c>
      <c r="M57" s="14">
        <v>-134184.3234402782</v>
      </c>
      <c r="N57" s="7">
        <v>0.8808</v>
      </c>
      <c r="O57" s="7">
        <v>0.0014</v>
      </c>
      <c r="P57" s="7">
        <v>0.0924</v>
      </c>
      <c r="Q57" s="14">
        <v>147533.4305324276</v>
      </c>
      <c r="R57" s="14">
        <v>150000</v>
      </c>
      <c r="S57" s="14">
        <v>2555243.202385839</v>
      </c>
    </row>
    <row r="58" spans="1:19">
      <c r="A58" s="3" t="s">
        <v>947</v>
      </c>
      <c r="B58" s="3" t="s">
        <v>1821</v>
      </c>
      <c r="C58" s="3" t="s">
        <v>1803</v>
      </c>
      <c r="D58" s="7">
        <v>0.0002</v>
      </c>
      <c r="E58" s="14">
        <v>-136423.8596880365</v>
      </c>
      <c r="F58" s="14">
        <v>-140052.9126887802</v>
      </c>
      <c r="G58" s="14">
        <v>17428927.8041427</v>
      </c>
      <c r="H58" s="7">
        <v>0.0002</v>
      </c>
      <c r="I58" s="14">
        <v>-141798.2017235503</v>
      </c>
      <c r="J58" s="14">
        <v>-140818.1213761617</v>
      </c>
      <c r="K58" s="14">
        <v>-139211.4396353866</v>
      </c>
      <c r="L58" s="14">
        <v>-137960.6497633991</v>
      </c>
      <c r="M58" s="14">
        <v>-139937.6327754201</v>
      </c>
      <c r="N58" s="7">
        <v>0.9923</v>
      </c>
      <c r="O58" s="7">
        <v>0</v>
      </c>
      <c r="P58" s="7">
        <v>0.0075</v>
      </c>
      <c r="Q58" s="14">
        <v>149930.1488272434</v>
      </c>
      <c r="R58" s="14">
        <v>150000</v>
      </c>
      <c r="S58" s="14">
        <v>9929686.524367627</v>
      </c>
    </row>
    <row r="59" spans="1:19">
      <c r="A59" s="3" t="s">
        <v>947</v>
      </c>
      <c r="B59" s="3" t="s">
        <v>1821</v>
      </c>
      <c r="C59" s="3" t="s">
        <v>1804</v>
      </c>
      <c r="D59" s="7">
        <v>0.02905</v>
      </c>
      <c r="E59" s="14">
        <v>15085.4746765431</v>
      </c>
      <c r="F59" s="14">
        <v>-135802.3554665095</v>
      </c>
      <c r="G59" s="14">
        <v>4998547.087014271</v>
      </c>
      <c r="H59" s="7">
        <v>0.02905</v>
      </c>
      <c r="I59" s="14">
        <v>-138359.0487669932</v>
      </c>
      <c r="J59" s="14">
        <v>-137017.9590743469</v>
      </c>
      <c r="K59" s="14">
        <v>-134165.3088508087</v>
      </c>
      <c r="L59" s="14">
        <v>-106504.6302768129</v>
      </c>
      <c r="M59" s="14">
        <v>-134015.4675330568</v>
      </c>
      <c r="N59" s="7">
        <v>0.87495</v>
      </c>
      <c r="O59" s="7">
        <v>0.00205</v>
      </c>
      <c r="P59" s="7">
        <v>0.09395000000000001</v>
      </c>
      <c r="Q59" s="14">
        <v>147342.4735414974</v>
      </c>
      <c r="R59" s="14">
        <v>150000</v>
      </c>
      <c r="S59" s="14">
        <v>2156944.147531648</v>
      </c>
    </row>
    <row r="60" spans="1:19">
      <c r="A60" s="3" t="s">
        <v>947</v>
      </c>
      <c r="B60" s="3" t="s">
        <v>1821</v>
      </c>
      <c r="C60" s="3" t="s">
        <v>1805</v>
      </c>
      <c r="D60" s="7">
        <v>0.0195</v>
      </c>
      <c r="E60" s="14">
        <v>-53336.12122588539</v>
      </c>
      <c r="F60" s="14">
        <v>-135885.7026790786</v>
      </c>
      <c r="G60" s="14">
        <v>4010672.815736683</v>
      </c>
      <c r="H60" s="7">
        <v>0.0194</v>
      </c>
      <c r="I60" s="14">
        <v>-138412.5778211641</v>
      </c>
      <c r="J60" s="14">
        <v>-137075.9540451895</v>
      </c>
      <c r="K60" s="14">
        <v>-134274.6731072064</v>
      </c>
      <c r="L60" s="14">
        <v>-111934.964168543</v>
      </c>
      <c r="M60" s="14">
        <v>-134160.3683148911</v>
      </c>
      <c r="N60" s="7">
        <v>0.8847</v>
      </c>
      <c r="O60" s="7">
        <v>0.0015</v>
      </c>
      <c r="P60" s="7">
        <v>0.09429999999999999</v>
      </c>
      <c r="Q60" s="14">
        <v>147585.2260086226</v>
      </c>
      <c r="R60" s="14">
        <v>150000</v>
      </c>
      <c r="S60" s="14">
        <v>1969209.74319509</v>
      </c>
    </row>
    <row r="61" spans="1:19">
      <c r="A61" s="3" t="s">
        <v>947</v>
      </c>
      <c r="B61" s="3" t="s">
        <v>1821</v>
      </c>
      <c r="C61" s="3" t="s">
        <v>1806</v>
      </c>
      <c r="D61" s="7">
        <v>0.008750000000000001</v>
      </c>
      <c r="E61" s="14">
        <v>-78272.5121698447</v>
      </c>
      <c r="F61" s="14">
        <v>-136036.1148961577</v>
      </c>
      <c r="G61" s="14">
        <v>6397003.834612193</v>
      </c>
      <c r="H61" s="7">
        <v>0.008750000000000001</v>
      </c>
      <c r="I61" s="14">
        <v>-138400.1957781555</v>
      </c>
      <c r="J61" s="14">
        <v>-137113.3573133963</v>
      </c>
      <c r="K61" s="14">
        <v>-134700.9871815305</v>
      </c>
      <c r="L61" s="14">
        <v>-131476.2609130323</v>
      </c>
      <c r="M61" s="14">
        <v>-135431.319770695</v>
      </c>
      <c r="N61" s="7">
        <v>0.95395</v>
      </c>
      <c r="O61" s="7">
        <v>0.00055</v>
      </c>
      <c r="P61" s="7">
        <v>0.03675</v>
      </c>
      <c r="Q61" s="14">
        <v>149314.5328866476</v>
      </c>
      <c r="R61" s="14">
        <v>150000</v>
      </c>
      <c r="S61" s="14">
        <v>2921478.858489087</v>
      </c>
    </row>
    <row r="63" spans="1:19">
      <c r="A63" s="3" t="s">
        <v>691</v>
      </c>
      <c r="B63" s="3" t="s">
        <v>1822</v>
      </c>
      <c r="C63" s="3" t="s">
        <v>1802</v>
      </c>
      <c r="D63" s="7">
        <v>0.0015</v>
      </c>
      <c r="E63" s="14">
        <v>-127687.6119978074</v>
      </c>
      <c r="F63" s="14">
        <v>-137083.4335094859</v>
      </c>
      <c r="G63" s="14">
        <v>3626633.049008573</v>
      </c>
      <c r="H63" s="7">
        <v>0.0016</v>
      </c>
      <c r="I63" s="14">
        <v>-140517.819554056</v>
      </c>
      <c r="J63" s="14">
        <v>-138742.2465458447</v>
      </c>
      <c r="K63" s="14">
        <v>-134309.6735282451</v>
      </c>
      <c r="L63" s="14">
        <v>-106037.9384645762</v>
      </c>
      <c r="M63" s="14">
        <v>-133327.5529006712</v>
      </c>
      <c r="N63" s="7">
        <v>0.8909</v>
      </c>
      <c r="O63" s="7">
        <v>0.008200000000000001</v>
      </c>
      <c r="P63" s="7">
        <v>0.0994</v>
      </c>
      <c r="Q63" s="14">
        <v>146576.7068162971</v>
      </c>
      <c r="R63" s="14">
        <v>150000</v>
      </c>
      <c r="S63" s="14">
        <v>3798275.264293605</v>
      </c>
    </row>
    <row r="64" spans="1:19">
      <c r="A64" s="3" t="s">
        <v>691</v>
      </c>
      <c r="B64" s="3" t="s">
        <v>1822</v>
      </c>
      <c r="C64" s="3" t="s">
        <v>1803</v>
      </c>
      <c r="D64" s="7">
        <v>0</v>
      </c>
      <c r="E64" s="14">
        <v>-140168.0554995385</v>
      </c>
      <c r="F64" s="14">
        <v>-140741.8636067776</v>
      </c>
      <c r="G64" s="14" t="e">
        <f>#NUM!</f>
        <v>#NUM!</v>
      </c>
      <c r="H64" s="7">
        <v>0</v>
      </c>
      <c r="I64" s="14">
        <v>-142857.8395619099</v>
      </c>
      <c r="J64" s="14">
        <v>-141673.4255986789</v>
      </c>
      <c r="K64" s="14">
        <v>-139703.5553093083</v>
      </c>
      <c r="L64" s="14">
        <v>-137500.8012110297</v>
      </c>
      <c r="M64" s="14">
        <v>-140168.0554995385</v>
      </c>
      <c r="N64" s="7">
        <v>0.96405</v>
      </c>
      <c r="O64" s="7">
        <v>0</v>
      </c>
      <c r="P64" s="7">
        <v>0.03595</v>
      </c>
      <c r="Q64" s="14">
        <v>149451.2055594206</v>
      </c>
      <c r="R64" s="14">
        <v>150000</v>
      </c>
      <c r="S64" s="14" t="e">
        <f>#NUM!</f>
        <v>#NUM!</v>
      </c>
    </row>
    <row r="65" spans="1:19">
      <c r="A65" s="3" t="s">
        <v>691</v>
      </c>
      <c r="B65" s="3" t="s">
        <v>1822</v>
      </c>
      <c r="C65" s="3" t="s">
        <v>1804</v>
      </c>
      <c r="D65" s="7">
        <v>0.0014</v>
      </c>
      <c r="E65" s="14">
        <v>-129049.5052842887</v>
      </c>
      <c r="F65" s="14">
        <v>-137029.0964691972</v>
      </c>
      <c r="G65" s="14">
        <v>2729530.07224456</v>
      </c>
      <c r="H65" s="7">
        <v>0.00135</v>
      </c>
      <c r="I65" s="14">
        <v>-140509.5716603983</v>
      </c>
      <c r="J65" s="14">
        <v>-138707.7293097136</v>
      </c>
      <c r="K65" s="14">
        <v>-134190.152384796</v>
      </c>
      <c r="L65" s="14">
        <v>-104590.9523386463</v>
      </c>
      <c r="M65" s="14">
        <v>-133057.1273637404</v>
      </c>
      <c r="N65" s="7">
        <v>0.8847</v>
      </c>
      <c r="O65" s="7">
        <v>0.0104</v>
      </c>
      <c r="P65" s="7">
        <v>0.1035</v>
      </c>
      <c r="Q65" s="14">
        <v>146333.8788273252</v>
      </c>
      <c r="R65" s="14">
        <v>150000</v>
      </c>
      <c r="S65" s="14">
        <v>3829504.28563769</v>
      </c>
    </row>
    <row r="66" spans="1:19">
      <c r="A66" s="3" t="s">
        <v>691</v>
      </c>
      <c r="B66" s="3" t="s">
        <v>1822</v>
      </c>
      <c r="C66" s="3" t="s">
        <v>1805</v>
      </c>
      <c r="D66" s="7">
        <v>0.00125</v>
      </c>
      <c r="E66" s="14">
        <v>-130483.7407912824</v>
      </c>
      <c r="F66" s="14">
        <v>-137091.0659202207</v>
      </c>
      <c r="G66" s="14">
        <v>2311369.426824889</v>
      </c>
      <c r="H66" s="7">
        <v>0.00125</v>
      </c>
      <c r="I66" s="14">
        <v>-140564.5814063637</v>
      </c>
      <c r="J66" s="14">
        <v>-138764.7829852135</v>
      </c>
      <c r="K66" s="14">
        <v>-134570.4762926136</v>
      </c>
      <c r="L66" s="14">
        <v>-106124.073370513</v>
      </c>
      <c r="M66" s="14">
        <v>-133539.8774215905</v>
      </c>
      <c r="N66" s="7">
        <v>0.8888</v>
      </c>
      <c r="O66" s="7">
        <v>0.008500000000000001</v>
      </c>
      <c r="P66" s="7">
        <v>0.10145</v>
      </c>
      <c r="Q66" s="14">
        <v>146458.0277284211</v>
      </c>
      <c r="R66" s="14">
        <v>150000</v>
      </c>
      <c r="S66" s="14">
        <v>3754556.595061823</v>
      </c>
    </row>
    <row r="67" spans="1:19">
      <c r="A67" s="3" t="s">
        <v>691</v>
      </c>
      <c r="B67" s="3" t="s">
        <v>1822</v>
      </c>
      <c r="C67" s="3" t="s">
        <v>1806</v>
      </c>
      <c r="D67" s="7">
        <v>0</v>
      </c>
      <c r="E67" s="14">
        <v>-136684.5469310868</v>
      </c>
      <c r="F67" s="14">
        <v>-137295.3537640757</v>
      </c>
      <c r="G67" s="14" t="e">
        <f>#NUM!</f>
        <v>#NUM!</v>
      </c>
      <c r="H67" s="7">
        <v>0</v>
      </c>
      <c r="I67" s="14">
        <v>-140506.7570793459</v>
      </c>
      <c r="J67" s="14">
        <v>-138739.724951558</v>
      </c>
      <c r="K67" s="14">
        <v>-135623.2573455498</v>
      </c>
      <c r="L67" s="14">
        <v>-132154.6087320052</v>
      </c>
      <c r="M67" s="14">
        <v>-136684.5469310868</v>
      </c>
      <c r="N67" s="7">
        <v>0.96755</v>
      </c>
      <c r="O67" s="7">
        <v>0.0022</v>
      </c>
      <c r="P67" s="7">
        <v>0.03025</v>
      </c>
      <c r="Q67" s="14">
        <v>149529.1581926359</v>
      </c>
      <c r="R67" s="14">
        <v>150000</v>
      </c>
      <c r="S67" s="14" t="e">
        <f>#NUM!</f>
        <v>#NUM!</v>
      </c>
    </row>
    <row r="69" spans="1:19">
      <c r="A69" s="3" t="s">
        <v>1553</v>
      </c>
      <c r="B69" s="3" t="s">
        <v>1739</v>
      </c>
      <c r="C69" s="3" t="s">
        <v>1802</v>
      </c>
      <c r="D69" s="7">
        <v>0.00025</v>
      </c>
      <c r="E69" s="14">
        <v>-141960.6776580325</v>
      </c>
      <c r="F69" s="14">
        <v>-143243.0766550812</v>
      </c>
      <c r="G69" s="14">
        <v>2038053.250718772</v>
      </c>
      <c r="H69" s="7">
        <v>0.00025</v>
      </c>
      <c r="I69" s="14">
        <v>-146858.1531988293</v>
      </c>
      <c r="J69" s="14">
        <v>-144945.4975308461</v>
      </c>
      <c r="K69" s="14">
        <v>-141369.5998476029</v>
      </c>
      <c r="L69" s="14">
        <v>-137450.2077778344</v>
      </c>
      <c r="M69" s="14">
        <v>-142505.8174250684</v>
      </c>
      <c r="N69" s="7">
        <v>0.9489</v>
      </c>
      <c r="O69" s="7">
        <v>0.0012</v>
      </c>
      <c r="P69" s="7">
        <v>0.04965</v>
      </c>
      <c r="Q69" s="14">
        <v>149240.3921532265</v>
      </c>
      <c r="R69" s="14">
        <v>150000</v>
      </c>
      <c r="S69" s="14">
        <v>2132753.386325001</v>
      </c>
    </row>
    <row r="70" spans="1:19">
      <c r="A70" s="3" t="s">
        <v>1553</v>
      </c>
      <c r="B70" s="3" t="s">
        <v>1739</v>
      </c>
      <c r="C70" s="3" t="s">
        <v>1803</v>
      </c>
      <c r="D70" s="7">
        <v>0</v>
      </c>
      <c r="E70" s="14">
        <v>-145109.7669259107</v>
      </c>
      <c r="F70" s="14">
        <v>-145163.7537437794</v>
      </c>
      <c r="G70" s="14" t="e">
        <f>#NUM!</f>
        <v>#NUM!</v>
      </c>
      <c r="H70" s="7">
        <v>0</v>
      </c>
      <c r="I70" s="14">
        <v>-147864.9867737984</v>
      </c>
      <c r="J70" s="14">
        <v>-146417.8166679251</v>
      </c>
      <c r="K70" s="14">
        <v>-143932.026892537</v>
      </c>
      <c r="L70" s="14">
        <v>-142127.6054179779</v>
      </c>
      <c r="M70" s="14">
        <v>-145109.7669259107</v>
      </c>
      <c r="N70" s="7">
        <v>0.9983</v>
      </c>
      <c r="O70" s="7">
        <v>0</v>
      </c>
      <c r="P70" s="7">
        <v>0.0017</v>
      </c>
      <c r="Q70" s="14">
        <v>149988.4082696984</v>
      </c>
      <c r="R70" s="14">
        <v>150000</v>
      </c>
      <c r="S70" s="14" t="e">
        <f>#NUM!</f>
        <v>#NUM!</v>
      </c>
    </row>
    <row r="71" spans="1:19">
      <c r="A71" s="3" t="s">
        <v>1553</v>
      </c>
      <c r="B71" s="3" t="s">
        <v>1739</v>
      </c>
      <c r="C71" s="3" t="s">
        <v>1804</v>
      </c>
      <c r="D71" s="7">
        <v>0.0004</v>
      </c>
      <c r="E71" s="14">
        <v>-141916.0488931881</v>
      </c>
      <c r="F71" s="14">
        <v>-143186.0564250007</v>
      </c>
      <c r="G71" s="14">
        <v>849932.2308558264</v>
      </c>
      <c r="H71" s="7">
        <v>0.00035</v>
      </c>
      <c r="I71" s="14">
        <v>-146870.4655287892</v>
      </c>
      <c r="J71" s="14">
        <v>-144921.879219226</v>
      </c>
      <c r="K71" s="14">
        <v>-141212.9061744574</v>
      </c>
      <c r="L71" s="14">
        <v>-136531.2237583753</v>
      </c>
      <c r="M71" s="14">
        <v>-142312.9469643162</v>
      </c>
      <c r="N71" s="7">
        <v>0.94035</v>
      </c>
      <c r="O71" s="7">
        <v>0.0026</v>
      </c>
      <c r="P71" s="7">
        <v>0.05665</v>
      </c>
      <c r="Q71" s="14">
        <v>149107.4489232228</v>
      </c>
      <c r="R71" s="14">
        <v>150000</v>
      </c>
      <c r="S71" s="14">
        <v>1837299.237986314</v>
      </c>
    </row>
    <row r="72" spans="1:19">
      <c r="A72" s="3" t="s">
        <v>1553</v>
      </c>
      <c r="B72" s="3" t="s">
        <v>1739</v>
      </c>
      <c r="C72" s="3" t="s">
        <v>1805</v>
      </c>
      <c r="D72" s="7">
        <v>0.0003</v>
      </c>
      <c r="E72" s="14">
        <v>-141988.9088896479</v>
      </c>
      <c r="F72" s="14">
        <v>-143269.2929739497</v>
      </c>
      <c r="G72" s="14">
        <v>1618469.61639804</v>
      </c>
      <c r="H72" s="7">
        <v>0.0003</v>
      </c>
      <c r="I72" s="14">
        <v>-146916.6045297714</v>
      </c>
      <c r="J72" s="14">
        <v>-144989.3704763374</v>
      </c>
      <c r="K72" s="14">
        <v>-141391.9691241859</v>
      </c>
      <c r="L72" s="14">
        <v>-137378.6752704981</v>
      </c>
      <c r="M72" s="14">
        <v>-142517.2049360481</v>
      </c>
      <c r="N72" s="7">
        <v>0.9478</v>
      </c>
      <c r="O72" s="7">
        <v>0.0016</v>
      </c>
      <c r="P72" s="7">
        <v>0.0503</v>
      </c>
      <c r="Q72" s="14">
        <v>149233.1285646771</v>
      </c>
      <c r="R72" s="14">
        <v>150000</v>
      </c>
      <c r="S72" s="14">
        <v>2103917.986599029</v>
      </c>
    </row>
    <row r="73" spans="1:19">
      <c r="A73" s="3" t="s">
        <v>1553</v>
      </c>
      <c r="B73" s="3" t="s">
        <v>1739</v>
      </c>
      <c r="C73" s="3" t="s">
        <v>1806</v>
      </c>
      <c r="D73" s="7">
        <v>0</v>
      </c>
      <c r="E73" s="14">
        <v>-143099.9851321676</v>
      </c>
      <c r="F73" s="14">
        <v>-143252.2939668914</v>
      </c>
      <c r="G73" s="14" t="e">
        <f>#NUM!</f>
        <v>#NUM!</v>
      </c>
      <c r="H73" s="7">
        <v>0</v>
      </c>
      <c r="I73" s="14">
        <v>-146879.5891413639</v>
      </c>
      <c r="J73" s="14">
        <v>-144939.5682408364</v>
      </c>
      <c r="K73" s="14">
        <v>-141481.4095579196</v>
      </c>
      <c r="L73" s="14">
        <v>-138814.6468820673</v>
      </c>
      <c r="M73" s="14">
        <v>-143099.9851321676</v>
      </c>
      <c r="N73" s="7">
        <v>0.997</v>
      </c>
      <c r="O73" s="7">
        <v>0.00025</v>
      </c>
      <c r="P73" s="7">
        <v>0.00275</v>
      </c>
      <c r="Q73" s="14">
        <v>149980.2811651088</v>
      </c>
      <c r="R73" s="14">
        <v>150000</v>
      </c>
      <c r="S73" s="14" t="e">
        <f>#NUM!</f>
        <v>#NUM!</v>
      </c>
    </row>
    <row r="75" spans="1:19">
      <c r="A75" s="3" t="s">
        <v>1823</v>
      </c>
      <c r="B75" s="3" t="s">
        <v>1824</v>
      </c>
      <c r="C75" s="3" t="s">
        <v>1802</v>
      </c>
      <c r="D75" s="7">
        <v>0.00035</v>
      </c>
      <c r="E75" s="14">
        <v>-121836.4486629279</v>
      </c>
      <c r="F75" s="14">
        <v>-127362.3057051406</v>
      </c>
      <c r="G75" s="14">
        <v>1551170.753211183</v>
      </c>
      <c r="H75" s="7">
        <v>0.00035</v>
      </c>
      <c r="I75" s="14">
        <v>-133121.4141663625</v>
      </c>
      <c r="J75" s="14">
        <v>-130252.7587659836</v>
      </c>
      <c r="K75" s="14">
        <v>-121975.5829531709</v>
      </c>
      <c r="L75" s="14">
        <v>-87812.88866693941</v>
      </c>
      <c r="M75" s="14">
        <v>-122422.2061987214</v>
      </c>
      <c r="N75" s="7">
        <v>0.8240499999999999</v>
      </c>
      <c r="O75" s="7">
        <v>0.03815</v>
      </c>
      <c r="P75" s="7">
        <v>0.13745</v>
      </c>
      <c r="Q75" s="14">
        <v>143768.3173189066</v>
      </c>
      <c r="R75" s="14">
        <v>150000</v>
      </c>
      <c r="S75" s="14">
        <v>2132753.386324984</v>
      </c>
    </row>
    <row r="76" spans="1:19">
      <c r="A76" s="3" t="s">
        <v>1823</v>
      </c>
      <c r="B76" s="3" t="s">
        <v>1824</v>
      </c>
      <c r="C76" s="3" t="s">
        <v>1803</v>
      </c>
      <c r="D76" s="7">
        <v>0</v>
      </c>
      <c r="E76" s="14">
        <v>-130454.3814713823</v>
      </c>
      <c r="F76" s="14">
        <v>-132132.7082668729</v>
      </c>
      <c r="G76" s="14" t="e">
        <f>#NUM!</f>
        <v>#NUM!</v>
      </c>
      <c r="H76" s="7">
        <v>0</v>
      </c>
      <c r="I76" s="14">
        <v>-136572.9202246913</v>
      </c>
      <c r="J76" s="14">
        <v>-134343.9478978851</v>
      </c>
      <c r="K76" s="14">
        <v>-129045.2709685919</v>
      </c>
      <c r="L76" s="14">
        <v>-117209.0262734699</v>
      </c>
      <c r="M76" s="14">
        <v>-130454.3814713823</v>
      </c>
      <c r="N76" s="7">
        <v>0.9081</v>
      </c>
      <c r="O76" s="7">
        <v>0</v>
      </c>
      <c r="P76" s="7">
        <v>0.0919</v>
      </c>
      <c r="Q76" s="14">
        <v>148237.7103075371</v>
      </c>
      <c r="R76" s="14">
        <v>150000</v>
      </c>
      <c r="S76" s="14" t="e">
        <f>#NUM!</f>
        <v>#NUM!</v>
      </c>
    </row>
    <row r="77" spans="1:19">
      <c r="A77" s="3" t="s">
        <v>1823</v>
      </c>
      <c r="B77" s="3" t="s">
        <v>1824</v>
      </c>
      <c r="C77" s="3" t="s">
        <v>1804</v>
      </c>
      <c r="D77" s="7">
        <v>0.00095</v>
      </c>
      <c r="E77" s="14">
        <v>-121214.2306910698</v>
      </c>
      <c r="F77" s="14">
        <v>-127278.235895726</v>
      </c>
      <c r="G77" s="14">
        <v>549941.0815812096</v>
      </c>
      <c r="H77" s="7">
        <v>0.00085</v>
      </c>
      <c r="I77" s="14">
        <v>-133126.5401921062</v>
      </c>
      <c r="J77" s="14">
        <v>-130236.2262520507</v>
      </c>
      <c r="K77" s="14">
        <v>-121197.0271644753</v>
      </c>
      <c r="L77" s="14">
        <v>-86197.01082775167</v>
      </c>
      <c r="M77" s="14">
        <v>-121852.4345313768</v>
      </c>
      <c r="N77" s="7">
        <v>0.78905</v>
      </c>
      <c r="O77" s="7">
        <v>0.06895</v>
      </c>
      <c r="P77" s="7">
        <v>0.14105</v>
      </c>
      <c r="Q77" s="14">
        <v>143083.1529070055</v>
      </c>
      <c r="R77" s="14">
        <v>150000</v>
      </c>
      <c r="S77" s="14">
        <v>1322265.420422187</v>
      </c>
    </row>
    <row r="78" spans="1:19">
      <c r="A78" s="3" t="s">
        <v>1823</v>
      </c>
      <c r="B78" s="3" t="s">
        <v>1824</v>
      </c>
      <c r="C78" s="3" t="s">
        <v>1805</v>
      </c>
      <c r="D78" s="7">
        <v>0.00035</v>
      </c>
      <c r="E78" s="14">
        <v>-122216.3088344941</v>
      </c>
      <c r="F78" s="14">
        <v>-127800.3859330897</v>
      </c>
      <c r="G78" s="14">
        <v>1634084.520147102</v>
      </c>
      <c r="H78" s="7">
        <v>0.0003</v>
      </c>
      <c r="I78" s="14">
        <v>-133415.4334411995</v>
      </c>
      <c r="J78" s="14">
        <v>-130588.9860116567</v>
      </c>
      <c r="K78" s="14">
        <v>-122746.1142776732</v>
      </c>
      <c r="L78" s="14">
        <v>-87838.59646647309</v>
      </c>
      <c r="M78" s="14">
        <v>-122831.229346817</v>
      </c>
      <c r="N78" s="7">
        <v>0.8253</v>
      </c>
      <c r="O78" s="7">
        <v>0.0362</v>
      </c>
      <c r="P78" s="7">
        <v>0.13815</v>
      </c>
      <c r="Q78" s="14">
        <v>143775.5635397129</v>
      </c>
      <c r="R78" s="14">
        <v>150000</v>
      </c>
      <c r="S78" s="14">
        <v>2617289.503695104</v>
      </c>
    </row>
    <row r="79" spans="1:19">
      <c r="A79" s="3" t="s">
        <v>1823</v>
      </c>
      <c r="B79" s="3" t="s">
        <v>1824</v>
      </c>
      <c r="C79" s="3" t="s">
        <v>1806</v>
      </c>
      <c r="D79" s="7">
        <v>0</v>
      </c>
      <c r="E79" s="14">
        <v>-132609.0075013178</v>
      </c>
      <c r="F79" s="14">
        <v>-133642.4215350822</v>
      </c>
      <c r="G79" s="14" t="e">
        <f>#NUM!</f>
        <v>#NUM!</v>
      </c>
      <c r="H79" s="7">
        <v>0</v>
      </c>
      <c r="I79" s="14">
        <v>-135538.1084712542</v>
      </c>
      <c r="J79" s="14">
        <v>-134616.5440233967</v>
      </c>
      <c r="K79" s="14">
        <v>-131930.6815709827</v>
      </c>
      <c r="L79" s="14">
        <v>-126368.2559120374</v>
      </c>
      <c r="M79" s="14">
        <v>-132609.0075013178</v>
      </c>
      <c r="N79" s="7">
        <v>0.97575</v>
      </c>
      <c r="O79" s="7">
        <v>0.0041</v>
      </c>
      <c r="P79" s="7">
        <v>0.02015</v>
      </c>
      <c r="Q79" s="14">
        <v>149728.3246086831</v>
      </c>
      <c r="R79" s="14">
        <v>150000</v>
      </c>
      <c r="S79" s="14" t="e">
        <f>#NUM!</f>
        <v>#NUM!</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M62"/>
  <sheetViews>
    <sheetView workbookViewId="0">
      <pane ySplit="2" topLeftCell="A3" activePane="bottomLeft" state="frozen"/>
      <selection pane="bottomLeft"/>
    </sheetView>
  </sheetViews>
  <sheetFormatPr defaultRowHeight="15"/>
  <cols>
    <col min="1" max="1" width="8.7109375" customWidth="1"/>
    <col min="2" max="2" width="11.7109375" customWidth="1"/>
    <col min="3" max="3" width="15.7109375" customWidth="1"/>
    <col min="4" max="4" width="13.7109375" customWidth="1"/>
    <col min="5" max="5" width="15.7109375" customWidth="1"/>
    <col min="6" max="7" width="13.7109375" customWidth="1"/>
    <col min="8" max="8" width="15.7109375" customWidth="1"/>
    <col min="9" max="9" width="13.7109375" customWidth="1"/>
    <col min="10" max="10" width="14.7109375" customWidth="1"/>
    <col min="11" max="11" width="16.7109375" customWidth="1"/>
    <col min="12" max="12" width="19.7109375" customWidth="1"/>
    <col min="13" max="13" width="13.7109375" customWidth="1"/>
  </cols>
  <sheetData>
    <row r="1" spans="1:13">
      <c r="A1" s="6" t="s">
        <v>1825</v>
      </c>
    </row>
    <row r="2" spans="1:13" ht="34" customHeight="1">
      <c r="A2" s="5" t="s">
        <v>1826</v>
      </c>
      <c r="B2" s="5" t="s">
        <v>1827</v>
      </c>
      <c r="C2" s="5" t="s">
        <v>1828</v>
      </c>
      <c r="D2" s="5" t="s">
        <v>1829</v>
      </c>
      <c r="E2" s="5" t="s">
        <v>1830</v>
      </c>
      <c r="F2" s="5" t="s">
        <v>1831</v>
      </c>
      <c r="G2" s="5" t="s">
        <v>1832</v>
      </c>
      <c r="H2" s="5" t="s">
        <v>1833</v>
      </c>
      <c r="I2" s="5" t="s">
        <v>1834</v>
      </c>
      <c r="J2" s="5" t="s">
        <v>1835</v>
      </c>
      <c r="K2" s="5" t="s">
        <v>1836</v>
      </c>
      <c r="L2" s="5" t="s">
        <v>1837</v>
      </c>
      <c r="M2" s="5" t="s">
        <v>1838</v>
      </c>
    </row>
    <row r="3" spans="1:13">
      <c r="A3" s="13">
        <v>1</v>
      </c>
      <c r="B3" s="7">
        <v>1</v>
      </c>
      <c r="C3" s="15">
        <v>0</v>
      </c>
      <c r="D3" s="14">
        <v>0</v>
      </c>
      <c r="E3" s="14">
        <v>0</v>
      </c>
      <c r="F3" s="14">
        <v>0</v>
      </c>
      <c r="G3" s="14">
        <v>-2770.711508617816</v>
      </c>
      <c r="H3" s="14">
        <v>-2435.321438511749</v>
      </c>
      <c r="I3" s="14">
        <v>-2143.408873021149</v>
      </c>
      <c r="J3" s="14">
        <v>3660.928881159021</v>
      </c>
      <c r="K3" s="15">
        <v>0.5</v>
      </c>
      <c r="L3" s="14">
        <v>42727.35603263294</v>
      </c>
      <c r="M3" s="14">
        <v>0</v>
      </c>
    </row>
    <row r="4" spans="1:13">
      <c r="A4" s="13">
        <v>2</v>
      </c>
      <c r="B4" s="7">
        <v>1</v>
      </c>
      <c r="C4" s="15">
        <v>0</v>
      </c>
      <c r="D4" s="14">
        <v>0</v>
      </c>
      <c r="E4" s="14">
        <v>0</v>
      </c>
      <c r="F4" s="14">
        <v>0</v>
      </c>
      <c r="G4" s="14">
        <v>-3585.886125956275</v>
      </c>
      <c r="H4" s="14">
        <v>-3230.870281734736</v>
      </c>
      <c r="I4" s="14">
        <v>-2908.547020622156</v>
      </c>
      <c r="J4" s="14">
        <v>446.9749490172624</v>
      </c>
      <c r="K4" s="15">
        <v>1</v>
      </c>
      <c r="L4" s="14">
        <v>42757.6791842362</v>
      </c>
      <c r="M4" s="14">
        <v>0</v>
      </c>
    </row>
    <row r="5" spans="1:13">
      <c r="A5" s="13">
        <v>3</v>
      </c>
      <c r="B5" s="7">
        <v>1</v>
      </c>
      <c r="C5" s="15">
        <v>0</v>
      </c>
      <c r="D5" s="14">
        <v>0</v>
      </c>
      <c r="E5" s="14">
        <v>0</v>
      </c>
      <c r="F5" s="14">
        <v>0</v>
      </c>
      <c r="G5" s="14">
        <v>-4436.05778707256</v>
      </c>
      <c r="H5" s="14">
        <v>-4028.79418311581</v>
      </c>
      <c r="I5" s="14">
        <v>-3633.786339280514</v>
      </c>
      <c r="J5" s="14">
        <v>0</v>
      </c>
      <c r="K5" s="15">
        <v>1</v>
      </c>
      <c r="L5" s="14">
        <v>46307.55241898911</v>
      </c>
      <c r="M5" s="14">
        <v>0</v>
      </c>
    </row>
    <row r="6" spans="1:13">
      <c r="A6" s="13">
        <v>4</v>
      </c>
      <c r="B6" s="7">
        <v>1</v>
      </c>
      <c r="C6" s="15">
        <v>0</v>
      </c>
      <c r="D6" s="14">
        <v>0</v>
      </c>
      <c r="E6" s="14">
        <v>0</v>
      </c>
      <c r="F6" s="14">
        <v>0</v>
      </c>
      <c r="G6" s="14">
        <v>-4438.793718215828</v>
      </c>
      <c r="H6" s="14">
        <v>-4029.825440689876</v>
      </c>
      <c r="I6" s="14">
        <v>-3634.112951300242</v>
      </c>
      <c r="J6" s="14">
        <v>0</v>
      </c>
      <c r="K6" s="15">
        <v>1</v>
      </c>
      <c r="L6" s="14">
        <v>50383.85737110554</v>
      </c>
      <c r="M6" s="14">
        <v>0</v>
      </c>
    </row>
    <row r="7" spans="1:13">
      <c r="A7" s="13">
        <v>5</v>
      </c>
      <c r="B7" s="7">
        <v>1</v>
      </c>
      <c r="C7" s="15">
        <v>0</v>
      </c>
      <c r="D7" s="14">
        <v>0</v>
      </c>
      <c r="E7" s="14">
        <v>0</v>
      </c>
      <c r="F7" s="14">
        <v>0</v>
      </c>
      <c r="G7" s="14">
        <v>-4432.936430439559</v>
      </c>
      <c r="H7" s="14">
        <v>-4007.171926813994</v>
      </c>
      <c r="I7" s="14">
        <v>-3607.89580299071</v>
      </c>
      <c r="J7" s="14">
        <v>0</v>
      </c>
      <c r="K7" s="15">
        <v>1</v>
      </c>
      <c r="L7" s="14">
        <v>54494.94663422721</v>
      </c>
      <c r="M7" s="14">
        <v>0</v>
      </c>
    </row>
    <row r="8" spans="1:13">
      <c r="A8" s="13">
        <v>6</v>
      </c>
      <c r="B8" s="7">
        <v>0.9982</v>
      </c>
      <c r="C8" s="15">
        <v>0</v>
      </c>
      <c r="D8" s="14">
        <v>0</v>
      </c>
      <c r="E8" s="14">
        <v>0</v>
      </c>
      <c r="F8" s="14">
        <v>0</v>
      </c>
      <c r="G8" s="14">
        <v>-4389.001788692506</v>
      </c>
      <c r="H8" s="14">
        <v>-3950.353624622405</v>
      </c>
      <c r="I8" s="14">
        <v>-3528.505995157074</v>
      </c>
      <c r="J8" s="14">
        <v>0</v>
      </c>
      <c r="K8" s="15">
        <v>1</v>
      </c>
      <c r="L8" s="14">
        <v>58630.17042449284</v>
      </c>
      <c r="M8" s="14">
        <v>0</v>
      </c>
    </row>
    <row r="9" spans="1:13">
      <c r="A9" s="13">
        <v>7</v>
      </c>
      <c r="B9" s="7">
        <v>0.98695</v>
      </c>
      <c r="C9" s="15">
        <v>0</v>
      </c>
      <c r="D9" s="14">
        <v>0</v>
      </c>
      <c r="E9" s="14">
        <v>0</v>
      </c>
      <c r="F9" s="14">
        <v>570.451930345464</v>
      </c>
      <c r="G9" s="14">
        <v>-4305.719533534691</v>
      </c>
      <c r="H9" s="14">
        <v>-3837.034605946355</v>
      </c>
      <c r="I9" s="14">
        <v>-3368.603512784128</v>
      </c>
      <c r="J9" s="14">
        <v>0</v>
      </c>
      <c r="K9" s="15">
        <v>1</v>
      </c>
      <c r="L9" s="14">
        <v>62729.05427373975</v>
      </c>
      <c r="M9" s="14">
        <v>0</v>
      </c>
    </row>
    <row r="10" spans="1:13">
      <c r="A10" s="13">
        <v>8</v>
      </c>
      <c r="B10" s="7">
        <v>0.9652500000000001</v>
      </c>
      <c r="C10" s="15">
        <v>0.2694346072021856</v>
      </c>
      <c r="D10" s="14">
        <v>0</v>
      </c>
      <c r="E10" s="14">
        <v>351.5310771631537</v>
      </c>
      <c r="F10" s="14">
        <v>1111.181152134274</v>
      </c>
      <c r="G10" s="14">
        <v>-4186.219143072562</v>
      </c>
      <c r="H10" s="14">
        <v>-3673.590407830972</v>
      </c>
      <c r="I10" s="14">
        <v>-3120.727446420396</v>
      </c>
      <c r="J10" s="14">
        <v>0</v>
      </c>
      <c r="K10" s="15">
        <v>1.02111413329915</v>
      </c>
      <c r="L10" s="14">
        <v>66834.76325213633</v>
      </c>
      <c r="M10" s="14">
        <v>13.8646882660335</v>
      </c>
    </row>
    <row r="11" spans="1:13">
      <c r="A11" s="13">
        <v>9</v>
      </c>
      <c r="B11" s="7">
        <v>0.9329499999999999</v>
      </c>
      <c r="C11" s="15">
        <v>0.5734522407327481</v>
      </c>
      <c r="D11" s="14">
        <v>131.465744183591</v>
      </c>
      <c r="E11" s="14">
        <v>778.0292656987496</v>
      </c>
      <c r="F11" s="14">
        <v>1754.196060849652</v>
      </c>
      <c r="G11" s="14">
        <v>-4020.824107970275</v>
      </c>
      <c r="H11" s="14">
        <v>-3458.165680499226</v>
      </c>
      <c r="I11" s="14">
        <v>-2783.615930822785</v>
      </c>
      <c r="J11" s="14">
        <v>0</v>
      </c>
      <c r="K11" s="15">
        <v>1.046612517590763</v>
      </c>
      <c r="L11" s="14">
        <v>70768.42856049954</v>
      </c>
      <c r="M11" s="14">
        <v>30.33512038971545</v>
      </c>
    </row>
    <row r="12" spans="1:13">
      <c r="A12" s="13">
        <v>10</v>
      </c>
      <c r="B12" s="7">
        <v>0.90355</v>
      </c>
      <c r="C12" s="15">
        <v>0.9320994923775542</v>
      </c>
      <c r="D12" s="14">
        <v>470.0299958505784</v>
      </c>
      <c r="E12" s="14">
        <v>1269.003117497395</v>
      </c>
      <c r="F12" s="14">
        <v>2453.648001699775</v>
      </c>
      <c r="G12" s="14">
        <v>-3824.499917411687</v>
      </c>
      <c r="H12" s="14">
        <v>-3197.875873025801</v>
      </c>
      <c r="I12" s="14">
        <v>-2400.686816449638</v>
      </c>
      <c r="J12" s="14">
        <v>0</v>
      </c>
      <c r="K12" s="15">
        <v>1.075816863347756</v>
      </c>
      <c r="L12" s="14">
        <v>74529.71260009825</v>
      </c>
      <c r="M12" s="14">
        <v>47.75584919944018</v>
      </c>
    </row>
    <row r="13" spans="1:13">
      <c r="A13" s="13">
        <v>11</v>
      </c>
      <c r="B13" s="7">
        <v>0.8828</v>
      </c>
      <c r="C13" s="15">
        <v>1.272384031128234</v>
      </c>
      <c r="D13" s="14">
        <v>810.1726138676656</v>
      </c>
      <c r="E13" s="14">
        <v>1769.264132656703</v>
      </c>
      <c r="F13" s="14">
        <v>3171.888341498828</v>
      </c>
      <c r="G13" s="14">
        <v>-3614.545406410933</v>
      </c>
      <c r="H13" s="14">
        <v>-2913.480486459742</v>
      </c>
      <c r="I13" s="14">
        <v>-2000.132842452071</v>
      </c>
      <c r="J13" s="14">
        <v>0</v>
      </c>
      <c r="K13" s="15">
        <v>1.106084059067263</v>
      </c>
      <c r="L13" s="14">
        <v>77975.24711303398</v>
      </c>
      <c r="M13" s="14">
        <v>63.87245781113268</v>
      </c>
    </row>
    <row r="14" spans="1:13">
      <c r="A14" s="13">
        <v>12</v>
      </c>
      <c r="B14" s="7">
        <v>0.86865</v>
      </c>
      <c r="C14" s="15">
        <v>1.604767025482482</v>
      </c>
      <c r="D14" s="14">
        <v>1139.116737814115</v>
      </c>
      <c r="E14" s="14">
        <v>2276.192483623456</v>
      </c>
      <c r="F14" s="14">
        <v>3898.426181386241</v>
      </c>
      <c r="G14" s="14">
        <v>-3416.384826635303</v>
      </c>
      <c r="H14" s="14">
        <v>-2630.795080318702</v>
      </c>
      <c r="I14" s="14">
        <v>-1594.075408302265</v>
      </c>
      <c r="J14" s="14">
        <v>0</v>
      </c>
      <c r="K14" s="15">
        <v>1.137166684713084</v>
      </c>
      <c r="L14" s="14">
        <v>81225.56355759119</v>
      </c>
      <c r="M14" s="14">
        <v>77.91598494589235</v>
      </c>
    </row>
    <row r="15" spans="1:13">
      <c r="A15" s="13">
        <v>13</v>
      </c>
      <c r="B15" s="7">
        <v>0.862</v>
      </c>
      <c r="C15" s="15">
        <v>1.923502908622523</v>
      </c>
      <c r="D15" s="14">
        <v>1443.888446008788</v>
      </c>
      <c r="E15" s="14">
        <v>2760.634293194245</v>
      </c>
      <c r="F15" s="14">
        <v>4618.22467989921</v>
      </c>
      <c r="G15" s="14">
        <v>-3242.062950781466</v>
      </c>
      <c r="H15" s="14">
        <v>-2360.146552279924</v>
      </c>
      <c r="I15" s="14">
        <v>-1195.965783314884</v>
      </c>
      <c r="J15" s="14">
        <v>0</v>
      </c>
      <c r="K15" s="15">
        <v>1.166859605791577</v>
      </c>
      <c r="L15" s="14">
        <v>84103.61581640615</v>
      </c>
      <c r="M15" s="14">
        <v>86.94488817053151</v>
      </c>
    </row>
    <row r="16" spans="1:13">
      <c r="A16" s="13">
        <v>14</v>
      </c>
      <c r="B16" s="7">
        <v>0.8611</v>
      </c>
      <c r="C16" s="15">
        <v>2.224805882190906</v>
      </c>
      <c r="D16" s="14">
        <v>1713.652322709305</v>
      </c>
      <c r="E16" s="14">
        <v>3214.148663713644</v>
      </c>
      <c r="F16" s="14">
        <v>5306.133038413544</v>
      </c>
      <c r="G16" s="14">
        <v>-3091.135883158093</v>
      </c>
      <c r="H16" s="14">
        <v>-2104.376239389177</v>
      </c>
      <c r="I16" s="14">
        <v>-803.1214431517478</v>
      </c>
      <c r="J16" s="14">
        <v>0</v>
      </c>
      <c r="K16" s="15">
        <v>1.194051405981538</v>
      </c>
      <c r="L16" s="14">
        <v>86778.89910656292</v>
      </c>
      <c r="M16" s="14">
        <v>92.42822158372822</v>
      </c>
    </row>
    <row r="17" spans="1:13">
      <c r="A17" s="13">
        <v>15</v>
      </c>
      <c r="B17" s="7">
        <v>0.8611</v>
      </c>
      <c r="C17" s="15">
        <v>2.524297474811554</v>
      </c>
      <c r="D17" s="14">
        <v>1953.582391504885</v>
      </c>
      <c r="E17" s="14">
        <v>3645.921720419035</v>
      </c>
      <c r="F17" s="14">
        <v>5987.93483862426</v>
      </c>
      <c r="G17" s="14">
        <v>-2960.407518786512</v>
      </c>
      <c r="H17" s="14">
        <v>-1857.603498746744</v>
      </c>
      <c r="I17" s="14">
        <v>-430.7987905683547</v>
      </c>
      <c r="J17" s="14">
        <v>0</v>
      </c>
      <c r="K17" s="15">
        <v>1.220706428885265</v>
      </c>
      <c r="L17" s="14">
        <v>89187.44240752634</v>
      </c>
      <c r="M17" s="14">
        <v>94.05239112877456</v>
      </c>
    </row>
    <row r="18" spans="1:13">
      <c r="A18" s="13">
        <v>16</v>
      </c>
      <c r="B18" s="7">
        <v>0.8611</v>
      </c>
      <c r="C18" s="15">
        <v>2.81876770999566</v>
      </c>
      <c r="D18" s="14">
        <v>2205.136281779455</v>
      </c>
      <c r="E18" s="14">
        <v>4061.740150319982</v>
      </c>
      <c r="F18" s="14">
        <v>6650.668771483116</v>
      </c>
      <c r="G18" s="14">
        <v>-2834.042312487506</v>
      </c>
      <c r="H18" s="14">
        <v>-1629.345634616537</v>
      </c>
      <c r="I18" s="14">
        <v>-80.55641051316252</v>
      </c>
      <c r="J18" s="14">
        <v>0</v>
      </c>
      <c r="K18" s="15">
        <v>1.247071031738351</v>
      </c>
      <c r="L18" s="14">
        <v>91342.84950477676</v>
      </c>
      <c r="M18" s="14">
        <v>91.71994749258134</v>
      </c>
    </row>
    <row r="19" spans="1:13">
      <c r="A19" s="13">
        <v>17</v>
      </c>
      <c r="B19" s="7">
        <v>0.86095</v>
      </c>
      <c r="C19" s="15">
        <v>3.095413993450897</v>
      </c>
      <c r="D19" s="14">
        <v>2418.538694114985</v>
      </c>
      <c r="E19" s="14">
        <v>4464.660857650768</v>
      </c>
      <c r="F19" s="14">
        <v>7306.96911008593</v>
      </c>
      <c r="G19" s="14">
        <v>-2714.016466935883</v>
      </c>
      <c r="H19" s="14">
        <v>-1426.7089045984</v>
      </c>
      <c r="I19" s="14">
        <v>253.5635739203467</v>
      </c>
      <c r="J19" s="14">
        <v>0</v>
      </c>
      <c r="K19" s="15">
        <v>1.272491720960589</v>
      </c>
      <c r="L19" s="14">
        <v>93450.89219730337</v>
      </c>
      <c r="M19" s="14">
        <v>88.86877243322351</v>
      </c>
    </row>
    <row r="20" spans="1:13">
      <c r="A20" s="13">
        <v>18</v>
      </c>
      <c r="B20" s="7">
        <v>0.86075</v>
      </c>
      <c r="C20" s="15">
        <v>3.361759815089361</v>
      </c>
      <c r="D20" s="14">
        <v>2635.139654428775</v>
      </c>
      <c r="E20" s="14">
        <v>4849.192981700323</v>
      </c>
      <c r="F20" s="14">
        <v>7926.0101637822</v>
      </c>
      <c r="G20" s="14">
        <v>-2597.827946312821</v>
      </c>
      <c r="H20" s="14">
        <v>-1215.764156771778</v>
      </c>
      <c r="I20" s="14">
        <v>534.4436893564784</v>
      </c>
      <c r="J20" s="14">
        <v>0</v>
      </c>
      <c r="K20" s="15">
        <v>1.298541879881813</v>
      </c>
      <c r="L20" s="14">
        <v>95254.25538660574</v>
      </c>
      <c r="M20" s="14">
        <v>83.50540700938375</v>
      </c>
    </row>
    <row r="21" spans="1:13">
      <c r="A21" s="13">
        <v>19</v>
      </c>
      <c r="B21" s="7">
        <v>0.8598</v>
      </c>
      <c r="C21" s="15">
        <v>3.621911743499362</v>
      </c>
      <c r="D21" s="14">
        <v>2846.31179437476</v>
      </c>
      <c r="E21" s="14">
        <v>5234.4495793443</v>
      </c>
      <c r="F21" s="14">
        <v>8519.650521128864</v>
      </c>
      <c r="G21" s="14">
        <v>-2493.675374875345</v>
      </c>
      <c r="H21" s="14">
        <v>-1040.346030439663</v>
      </c>
      <c r="I21" s="14">
        <v>810.7432736583801</v>
      </c>
      <c r="J21" s="14">
        <v>0</v>
      </c>
      <c r="K21" s="15">
        <v>1.325715477863024</v>
      </c>
      <c r="L21" s="14">
        <v>96911.82157299297</v>
      </c>
      <c r="M21" s="14">
        <v>77.39528418450627</v>
      </c>
    </row>
    <row r="22" spans="1:13">
      <c r="A22" s="13">
        <v>20</v>
      </c>
      <c r="B22" s="7">
        <v>0.3197</v>
      </c>
      <c r="C22" s="15">
        <v>5.539171080058424</v>
      </c>
      <c r="D22" s="14">
        <v>8183.539069473818</v>
      </c>
      <c r="E22" s="14">
        <v>10378.68487659405</v>
      </c>
      <c r="F22" s="14">
        <v>13637.71733962155</v>
      </c>
      <c r="G22" s="14">
        <v>747.6751626663115</v>
      </c>
      <c r="H22" s="14">
        <v>1827.829775905631</v>
      </c>
      <c r="I22" s="14">
        <v>3650.678199203247</v>
      </c>
      <c r="J22" s="14">
        <v>2201.010602299434</v>
      </c>
      <c r="K22" s="15">
        <v>1.772794846397551</v>
      </c>
      <c r="L22" s="14">
        <v>84211.53377525193</v>
      </c>
      <c r="M22" s="14">
        <v>0</v>
      </c>
    </row>
    <row r="23" spans="1:13">
      <c r="A23" s="13">
        <v>21</v>
      </c>
      <c r="B23" s="7">
        <v>0.31635</v>
      </c>
      <c r="C23" s="15">
        <v>5.89558098223627</v>
      </c>
      <c r="D23" s="14">
        <v>8709.834013354208</v>
      </c>
      <c r="E23" s="14">
        <v>11073.47714581622</v>
      </c>
      <c r="F23" s="14">
        <v>14655.48203257079</v>
      </c>
      <c r="G23" s="14">
        <v>1003.82867902023</v>
      </c>
      <c r="H23" s="14">
        <v>2130.154838752633</v>
      </c>
      <c r="I23" s="14">
        <v>4024.479791570354</v>
      </c>
      <c r="J23" s="14">
        <v>3651.024879481613</v>
      </c>
      <c r="K23" s="15">
        <v>1.89613274345178</v>
      </c>
      <c r="L23" s="14">
        <v>84127.17900499847</v>
      </c>
      <c r="M23" s="14">
        <v>0</v>
      </c>
    </row>
    <row r="24" spans="1:13">
      <c r="A24" s="13">
        <v>22</v>
      </c>
      <c r="B24" s="7">
        <v>0.31315</v>
      </c>
      <c r="C24" s="15">
        <v>6.249369283192146</v>
      </c>
      <c r="D24" s="14">
        <v>9254.851183859373</v>
      </c>
      <c r="E24" s="14">
        <v>11756.10023074055</v>
      </c>
      <c r="F24" s="14">
        <v>15730.1130715126</v>
      </c>
      <c r="G24" s="14">
        <v>1249.441011209305</v>
      </c>
      <c r="H24" s="14">
        <v>2438.202714602461</v>
      </c>
      <c r="I24" s="14">
        <v>4493.345424717255</v>
      </c>
      <c r="J24" s="14">
        <v>5414.054638400049</v>
      </c>
      <c r="K24" s="15">
        <v>2.088785725290197</v>
      </c>
      <c r="L24" s="14">
        <v>84080.50088632412</v>
      </c>
      <c r="M24" s="14">
        <v>0</v>
      </c>
    </row>
    <row r="25" spans="1:13">
      <c r="A25" s="13">
        <v>23</v>
      </c>
      <c r="B25" s="7">
        <v>0.3106</v>
      </c>
      <c r="C25" s="15">
        <v>6.609590149716583</v>
      </c>
      <c r="D25" s="14">
        <v>9733.711823091091</v>
      </c>
      <c r="E25" s="14">
        <v>12384.092530014</v>
      </c>
      <c r="F25" s="14">
        <v>17001.85438264778</v>
      </c>
      <c r="G25" s="14">
        <v>1472.677148041995</v>
      </c>
      <c r="H25" s="14">
        <v>2750.67490409182</v>
      </c>
      <c r="I25" s="14">
        <v>5016.488324878428</v>
      </c>
      <c r="J25" s="14">
        <v>7479.021657486384</v>
      </c>
      <c r="K25" s="15">
        <v>2.46465452274004</v>
      </c>
      <c r="L25" s="14">
        <v>84013.19810948588</v>
      </c>
      <c r="M25" s="14">
        <v>0</v>
      </c>
    </row>
    <row r="26" spans="1:13">
      <c r="A26" s="13">
        <v>24</v>
      </c>
      <c r="B26" s="7">
        <v>0.30865</v>
      </c>
      <c r="C26" s="15">
        <v>6.983196590114464</v>
      </c>
      <c r="D26" s="14">
        <v>10217.91316218898</v>
      </c>
      <c r="E26" s="14">
        <v>13060.33303894774</v>
      </c>
      <c r="F26" s="14">
        <v>18269.19404422621</v>
      </c>
      <c r="G26" s="14">
        <v>1667.073471516871</v>
      </c>
      <c r="H26" s="14">
        <v>3029.751708387296</v>
      </c>
      <c r="I26" s="14">
        <v>5571.919618506347</v>
      </c>
      <c r="J26" s="14">
        <v>9804.409883850672</v>
      </c>
      <c r="K26" s="15">
        <v>2.625518073731256</v>
      </c>
      <c r="L26" s="14">
        <v>83953.05057292151</v>
      </c>
      <c r="M26" s="14">
        <v>0</v>
      </c>
    </row>
    <row r="27" spans="1:13">
      <c r="A27" s="13">
        <v>25</v>
      </c>
      <c r="B27" s="7">
        <v>0.3074</v>
      </c>
      <c r="C27" s="15">
        <v>7.347854713615547</v>
      </c>
      <c r="D27" s="14">
        <v>10653.04459474981</v>
      </c>
      <c r="E27" s="14">
        <v>13708.82667335438</v>
      </c>
      <c r="F27" s="14">
        <v>19554.14070326831</v>
      </c>
      <c r="G27" s="14">
        <v>1856.815871112434</v>
      </c>
      <c r="H27" s="14">
        <v>3300.354303306791</v>
      </c>
      <c r="I27" s="14">
        <v>6099.858092352804</v>
      </c>
      <c r="J27" s="14">
        <v>12254.63567349126</v>
      </c>
      <c r="K27" s="15">
        <v>2.719832870986713</v>
      </c>
      <c r="L27" s="14">
        <v>83922.05386588619</v>
      </c>
      <c r="M27" s="14">
        <v>0</v>
      </c>
    </row>
    <row r="28" spans="1:13">
      <c r="A28" s="13">
        <v>26</v>
      </c>
      <c r="B28" s="7">
        <v>0.3063</v>
      </c>
      <c r="C28" s="15">
        <v>7.745226173682353</v>
      </c>
      <c r="D28" s="14">
        <v>11091.1838019551</v>
      </c>
      <c r="E28" s="14">
        <v>14343.91883531502</v>
      </c>
      <c r="F28" s="14">
        <v>20979.32571522777</v>
      </c>
      <c r="G28" s="14">
        <v>2054.521790977196</v>
      </c>
      <c r="H28" s="14">
        <v>3540.8626210559</v>
      </c>
      <c r="I28" s="14">
        <v>6742.219710392425</v>
      </c>
      <c r="J28" s="14">
        <v>15049.70024287807</v>
      </c>
      <c r="K28" s="15">
        <v>2.799100064723646</v>
      </c>
      <c r="L28" s="14">
        <v>83882.52619912059</v>
      </c>
      <c r="M28" s="14">
        <v>0</v>
      </c>
    </row>
    <row r="29" spans="1:13">
      <c r="A29" s="13">
        <v>27</v>
      </c>
      <c r="B29" s="7">
        <v>0.30595</v>
      </c>
      <c r="C29" s="15">
        <v>8.116909495219906</v>
      </c>
      <c r="D29" s="14">
        <v>11509.34655280773</v>
      </c>
      <c r="E29" s="14">
        <v>14999.11306488604</v>
      </c>
      <c r="F29" s="14">
        <v>22490.63802621286</v>
      </c>
      <c r="G29" s="14">
        <v>2229.621820165732</v>
      </c>
      <c r="H29" s="14">
        <v>3840.881962364761</v>
      </c>
      <c r="I29" s="14">
        <v>7462.328997360767</v>
      </c>
      <c r="J29" s="14">
        <v>18028.07400332081</v>
      </c>
      <c r="K29" s="15">
        <v>2.859218336229176</v>
      </c>
      <c r="L29" s="14">
        <v>83878.12420408615</v>
      </c>
      <c r="M29" s="14">
        <v>0</v>
      </c>
    </row>
    <row r="30" spans="1:13">
      <c r="A30" s="13">
        <v>28</v>
      </c>
      <c r="B30" s="7">
        <v>0.30575</v>
      </c>
      <c r="C30" s="15">
        <v>8.500090750405471</v>
      </c>
      <c r="D30" s="14">
        <v>11888.51717501508</v>
      </c>
      <c r="E30" s="14">
        <v>15703.29005633583</v>
      </c>
      <c r="F30" s="14">
        <v>23932.82060407984</v>
      </c>
      <c r="G30" s="14">
        <v>2406.25194174707</v>
      </c>
      <c r="H30" s="14">
        <v>4135.875466979176</v>
      </c>
      <c r="I30" s="14">
        <v>8182.226169997266</v>
      </c>
      <c r="J30" s="14">
        <v>21211.16462316373</v>
      </c>
      <c r="K30" s="15">
        <v>2.929191967084972</v>
      </c>
      <c r="L30" s="14">
        <v>83878.12420408615</v>
      </c>
      <c r="M30" s="14">
        <v>0</v>
      </c>
    </row>
    <row r="31" spans="1:13">
      <c r="A31" s="13">
        <v>29</v>
      </c>
      <c r="B31" s="7">
        <v>0.3057</v>
      </c>
      <c r="C31" s="15">
        <v>8.908714583061418</v>
      </c>
      <c r="D31" s="14">
        <v>12237.04504276725</v>
      </c>
      <c r="E31" s="14">
        <v>16417.40784233792</v>
      </c>
      <c r="F31" s="14">
        <v>25552.88019425758</v>
      </c>
      <c r="G31" s="14">
        <v>2559.723574669945</v>
      </c>
      <c r="H31" s="14">
        <v>4429.829910153061</v>
      </c>
      <c r="I31" s="14">
        <v>8924.12880607952</v>
      </c>
      <c r="J31" s="14">
        <v>24011.1442291682</v>
      </c>
      <c r="K31" s="15">
        <v>2.991863133234608</v>
      </c>
      <c r="L31" s="14">
        <v>83887.1024874656</v>
      </c>
      <c r="M31" s="14">
        <v>155.2279037565861</v>
      </c>
    </row>
    <row r="32" spans="1:13">
      <c r="A32" s="13">
        <v>30</v>
      </c>
      <c r="B32" s="7">
        <v>0.30555</v>
      </c>
      <c r="C32" s="15">
        <v>9.314042581281084</v>
      </c>
      <c r="D32" s="14">
        <v>12619.49165590215</v>
      </c>
      <c r="E32" s="14">
        <v>17200.20436274248</v>
      </c>
      <c r="F32" s="14">
        <v>27260.30377056438</v>
      </c>
      <c r="G32" s="14">
        <v>2721.068130731666</v>
      </c>
      <c r="H32" s="14">
        <v>4788.451995798398</v>
      </c>
      <c r="I32" s="14">
        <v>9800.642980406927</v>
      </c>
      <c r="J32" s="14">
        <v>26746.26064259987</v>
      </c>
      <c r="K32" s="15">
        <v>3.050244589626494</v>
      </c>
      <c r="L32" s="14">
        <v>83886.92819415504</v>
      </c>
      <c r="M32" s="14">
        <v>528.6695095301449</v>
      </c>
    </row>
    <row r="33" spans="1:13">
      <c r="A33" s="13">
        <v>31</v>
      </c>
      <c r="B33" s="7">
        <v>0.30555</v>
      </c>
      <c r="C33" s="15">
        <v>9.729412879442457</v>
      </c>
      <c r="D33" s="14">
        <v>12989.19658179193</v>
      </c>
      <c r="E33" s="14">
        <v>17966.04254283018</v>
      </c>
      <c r="F33" s="14">
        <v>29011.85919854801</v>
      </c>
      <c r="G33" s="14">
        <v>2864.637927048321</v>
      </c>
      <c r="H33" s="14">
        <v>5097.455445757826</v>
      </c>
      <c r="I33" s="14">
        <v>10665.91765038629</v>
      </c>
      <c r="J33" s="14">
        <v>29173.44918072756</v>
      </c>
      <c r="K33" s="15">
        <v>3.109107336784756</v>
      </c>
      <c r="L33" s="14">
        <v>83886.92819415504</v>
      </c>
      <c r="M33" s="14">
        <v>666.6812585913387</v>
      </c>
    </row>
    <row r="34" spans="1:13">
      <c r="A34" s="13">
        <v>32</v>
      </c>
      <c r="B34" s="7">
        <v>0.30555</v>
      </c>
      <c r="C34" s="15">
        <v>10.17944811837159</v>
      </c>
      <c r="D34" s="14">
        <v>13327.35846960694</v>
      </c>
      <c r="E34" s="14">
        <v>18786.29366432445</v>
      </c>
      <c r="F34" s="14">
        <v>30787.25316301423</v>
      </c>
      <c r="G34" s="14">
        <v>3025.381376803529</v>
      </c>
      <c r="H34" s="14">
        <v>5453.684278025507</v>
      </c>
      <c r="I34" s="14">
        <v>11611.83477997596</v>
      </c>
      <c r="J34" s="14">
        <v>31702.51294833622</v>
      </c>
      <c r="K34" s="15">
        <v>3.163284874482263</v>
      </c>
      <c r="L34" s="14">
        <v>83886.92819415504</v>
      </c>
      <c r="M34" s="14">
        <v>748.3639533568216</v>
      </c>
    </row>
    <row r="35" spans="1:13">
      <c r="A35" s="13">
        <v>33</v>
      </c>
      <c r="B35" s="7">
        <v>0.30555</v>
      </c>
      <c r="C35" s="15">
        <v>10.6200421626617</v>
      </c>
      <c r="D35" s="14">
        <v>13726.18902945859</v>
      </c>
      <c r="E35" s="14">
        <v>19558.73231155958</v>
      </c>
      <c r="F35" s="14">
        <v>32483.19301143118</v>
      </c>
      <c r="G35" s="14">
        <v>3177.954675856171</v>
      </c>
      <c r="H35" s="14">
        <v>5790.55294164839</v>
      </c>
      <c r="I35" s="14">
        <v>12591.0862372827</v>
      </c>
      <c r="J35" s="14">
        <v>33950.65429111875</v>
      </c>
      <c r="K35" s="15">
        <v>3.218146238510085</v>
      </c>
      <c r="L35" s="14">
        <v>83886.92819415504</v>
      </c>
      <c r="M35" s="14">
        <v>827.1655445915749</v>
      </c>
    </row>
    <row r="36" spans="1:13">
      <c r="A36" s="13">
        <v>34</v>
      </c>
      <c r="B36" s="7">
        <v>0.30555</v>
      </c>
      <c r="C36" s="15">
        <v>11.04000130596684</v>
      </c>
      <c r="D36" s="14">
        <v>14111.53793042857</v>
      </c>
      <c r="E36" s="14">
        <v>20319.83130196775</v>
      </c>
      <c r="F36" s="14">
        <v>34475.3042284116</v>
      </c>
      <c r="G36" s="14">
        <v>3361.364711651923</v>
      </c>
      <c r="H36" s="14">
        <v>6229.701309510376</v>
      </c>
      <c r="I36" s="14">
        <v>13516.98713743437</v>
      </c>
      <c r="J36" s="14">
        <v>35944.57158580398</v>
      </c>
      <c r="K36" s="15">
        <v>3.270775071502921</v>
      </c>
      <c r="L36" s="14">
        <v>83886.92819415504</v>
      </c>
      <c r="M36" s="14">
        <v>901.3812372041207</v>
      </c>
    </row>
    <row r="37" spans="1:13">
      <c r="A37" s="13">
        <v>35</v>
      </c>
      <c r="B37" s="7">
        <v>0.30555</v>
      </c>
      <c r="C37" s="15">
        <v>11.50363124057275</v>
      </c>
      <c r="D37" s="14">
        <v>14467.34780866527</v>
      </c>
      <c r="E37" s="14">
        <v>21123.08647382875</v>
      </c>
      <c r="F37" s="14">
        <v>36612.35780482686</v>
      </c>
      <c r="G37" s="14">
        <v>3519.009290280751</v>
      </c>
      <c r="H37" s="14">
        <v>6580.414568702727</v>
      </c>
      <c r="I37" s="14">
        <v>14589.00175902326</v>
      </c>
      <c r="J37" s="14">
        <v>38211.03296320864</v>
      </c>
      <c r="K37" s="15">
        <v>3.325334389723824</v>
      </c>
      <c r="L37" s="14">
        <v>83886.92819415504</v>
      </c>
      <c r="M37" s="14">
        <v>972.6556557094456</v>
      </c>
    </row>
    <row r="38" spans="1:13">
      <c r="A38" s="13">
        <v>36</v>
      </c>
      <c r="B38" s="7">
        <v>0.30555</v>
      </c>
      <c r="C38" s="15">
        <v>11.96745040498246</v>
      </c>
      <c r="D38" s="14">
        <v>14860.63579033584</v>
      </c>
      <c r="E38" s="14">
        <v>22004.91441688087</v>
      </c>
      <c r="F38" s="14">
        <v>38858.7563451473</v>
      </c>
      <c r="G38" s="14">
        <v>3680.095441348195</v>
      </c>
      <c r="H38" s="14">
        <v>7033.042941155136</v>
      </c>
      <c r="I38" s="14">
        <v>15548.43576773218</v>
      </c>
      <c r="J38" s="14">
        <v>40278.83540421735</v>
      </c>
      <c r="K38" s="15">
        <v>3.390626557080239</v>
      </c>
      <c r="L38" s="14">
        <v>83886.92819415504</v>
      </c>
      <c r="M38" s="14">
        <v>1040.861874906945</v>
      </c>
    </row>
    <row r="39" spans="1:13">
      <c r="A39" s="13">
        <v>37</v>
      </c>
      <c r="B39" s="7">
        <v>0.30555</v>
      </c>
      <c r="C39" s="15">
        <v>12.42671873901221</v>
      </c>
      <c r="D39" s="14">
        <v>15305.44657486339</v>
      </c>
      <c r="E39" s="14">
        <v>22852.96718377806</v>
      </c>
      <c r="F39" s="14">
        <v>41025.62166223262</v>
      </c>
      <c r="G39" s="14">
        <v>3871.101479099525</v>
      </c>
      <c r="H39" s="14">
        <v>7410.543091457123</v>
      </c>
      <c r="I39" s="14">
        <v>16694.56638038997</v>
      </c>
      <c r="J39" s="14">
        <v>42345.51263019047</v>
      </c>
      <c r="K39" s="15">
        <v>3.445893368204747</v>
      </c>
      <c r="L39" s="14">
        <v>83886.92819415504</v>
      </c>
      <c r="M39" s="14">
        <v>1106.721790324519</v>
      </c>
    </row>
    <row r="40" spans="1:13">
      <c r="A40" s="13">
        <v>38</v>
      </c>
      <c r="B40" s="7">
        <v>0.30555</v>
      </c>
      <c r="C40" s="15">
        <v>12.92298802042552</v>
      </c>
      <c r="D40" s="14">
        <v>15648.93521482281</v>
      </c>
      <c r="E40" s="14">
        <v>23721.24132492222</v>
      </c>
      <c r="F40" s="14">
        <v>43336.58707725291</v>
      </c>
      <c r="G40" s="14">
        <v>4040.117619570431</v>
      </c>
      <c r="H40" s="14">
        <v>7873.758624490036</v>
      </c>
      <c r="I40" s="14">
        <v>17685.38117856499</v>
      </c>
      <c r="J40" s="14">
        <v>44280.80132820053</v>
      </c>
      <c r="K40" s="15">
        <v>3.509690212484271</v>
      </c>
      <c r="L40" s="14">
        <v>83886.92819415504</v>
      </c>
      <c r="M40" s="14">
        <v>1176.836534107128</v>
      </c>
    </row>
    <row r="41" spans="1:13">
      <c r="A41" s="13">
        <v>39</v>
      </c>
      <c r="B41" s="7">
        <v>0.30555</v>
      </c>
      <c r="C41" s="15">
        <v>13.44880508941147</v>
      </c>
      <c r="D41" s="14">
        <v>16062.52795643333</v>
      </c>
      <c r="E41" s="14">
        <v>24649.4304131654</v>
      </c>
      <c r="F41" s="14">
        <v>45717.65678787619</v>
      </c>
      <c r="G41" s="14">
        <v>4216.27174305404</v>
      </c>
      <c r="H41" s="14">
        <v>8335.871199720794</v>
      </c>
      <c r="I41" s="14">
        <v>18960.1030344736</v>
      </c>
      <c r="J41" s="14">
        <v>46207.0192112416</v>
      </c>
      <c r="K41" s="15">
        <v>3.569404914678312</v>
      </c>
      <c r="L41" s="14">
        <v>83886.92819415504</v>
      </c>
      <c r="M41" s="14">
        <v>1249.430459934988</v>
      </c>
    </row>
    <row r="42" spans="1:13">
      <c r="A42" s="13">
        <v>40</v>
      </c>
      <c r="B42" s="7">
        <v>0.30555</v>
      </c>
      <c r="C42" s="15">
        <v>13.97790727547959</v>
      </c>
      <c r="D42" s="14">
        <v>16402.55194712355</v>
      </c>
      <c r="E42" s="14">
        <v>25548.5178405983</v>
      </c>
      <c r="F42" s="14">
        <v>48606.09532994791</v>
      </c>
      <c r="G42" s="14">
        <v>4418.499760643486</v>
      </c>
      <c r="H42" s="14">
        <v>8843.421419551361</v>
      </c>
      <c r="I42" s="14">
        <v>20275.09550518911</v>
      </c>
      <c r="J42" s="14">
        <v>48100.71234462825</v>
      </c>
      <c r="K42" s="15">
        <v>3.640244641702728</v>
      </c>
      <c r="L42" s="14">
        <v>83886.92819415504</v>
      </c>
      <c r="M42" s="14">
        <v>1324.912850093527</v>
      </c>
    </row>
    <row r="43" spans="1:13">
      <c r="A43" s="13">
        <v>41</v>
      </c>
      <c r="B43" s="7">
        <v>0.30555</v>
      </c>
      <c r="C43" s="15">
        <v>14.49461700668685</v>
      </c>
      <c r="D43" s="14">
        <v>16833.61122532031</v>
      </c>
      <c r="E43" s="14">
        <v>26548.8324420916</v>
      </c>
      <c r="F43" s="14">
        <v>51079.99571122231</v>
      </c>
      <c r="G43" s="14">
        <v>4617.956079855518</v>
      </c>
      <c r="H43" s="14">
        <v>9404.93586962187</v>
      </c>
      <c r="I43" s="14">
        <v>21690.42733038021</v>
      </c>
      <c r="J43" s="14">
        <v>49804.80667640603</v>
      </c>
      <c r="K43" s="15">
        <v>3.717378583619829</v>
      </c>
      <c r="L43" s="14">
        <v>83886.92819415504</v>
      </c>
      <c r="M43" s="14">
        <v>1407.306668655805</v>
      </c>
    </row>
    <row r="44" spans="1:13">
      <c r="A44" s="13">
        <v>42</v>
      </c>
      <c r="B44" s="7">
        <v>0.30555</v>
      </c>
      <c r="C44" s="15">
        <v>15.07533651199793</v>
      </c>
      <c r="D44" s="14">
        <v>17275.07441848004</v>
      </c>
      <c r="E44" s="14">
        <v>27654.46251643037</v>
      </c>
      <c r="F44" s="14">
        <v>53839.54813874992</v>
      </c>
      <c r="G44" s="14">
        <v>4835.211167935664</v>
      </c>
      <c r="H44" s="14">
        <v>9880.270685320658</v>
      </c>
      <c r="I44" s="14">
        <v>23098.4289068575</v>
      </c>
      <c r="J44" s="14">
        <v>51574.78823601438</v>
      </c>
      <c r="K44" s="15">
        <v>3.80474075598064</v>
      </c>
      <c r="L44" s="14">
        <v>83886.92819415504</v>
      </c>
      <c r="M44" s="14">
        <v>1482.040602798099</v>
      </c>
    </row>
    <row r="45" spans="1:13">
      <c r="A45" s="13">
        <v>43</v>
      </c>
      <c r="B45" s="7">
        <v>0.30555</v>
      </c>
      <c r="C45" s="15">
        <v>15.67041050359801</v>
      </c>
      <c r="D45" s="14">
        <v>17715.32713273773</v>
      </c>
      <c r="E45" s="14">
        <v>28736.12633713577</v>
      </c>
      <c r="F45" s="14">
        <v>56771.63808432505</v>
      </c>
      <c r="G45" s="14">
        <v>5024.163085066826</v>
      </c>
      <c r="H45" s="14">
        <v>10364.09989148615</v>
      </c>
      <c r="I45" s="14">
        <v>24397.13394717885</v>
      </c>
      <c r="J45" s="14">
        <v>53523.81396112786</v>
      </c>
      <c r="K45" s="15">
        <v>3.897905291958534</v>
      </c>
      <c r="L45" s="14">
        <v>83886.92819415504</v>
      </c>
      <c r="M45" s="14">
        <v>1554.614983722922</v>
      </c>
    </row>
    <row r="46" spans="1:13">
      <c r="A46" s="13">
        <v>44</v>
      </c>
      <c r="B46" s="7">
        <v>0.30555</v>
      </c>
      <c r="C46" s="15">
        <v>16.29677612085456</v>
      </c>
      <c r="D46" s="14">
        <v>18170.19986926047</v>
      </c>
      <c r="E46" s="14">
        <v>29812.91958034921</v>
      </c>
      <c r="F46" s="14">
        <v>59577.21192894476</v>
      </c>
      <c r="G46" s="14">
        <v>5240.49708763802</v>
      </c>
      <c r="H46" s="14">
        <v>10965.43423912294</v>
      </c>
      <c r="I46" s="14">
        <v>25909.80473043075</v>
      </c>
      <c r="J46" s="14">
        <v>55432.31219870504</v>
      </c>
      <c r="K46" s="15">
        <v>3.999632961959617</v>
      </c>
      <c r="L46" s="14">
        <v>83886.92819415504</v>
      </c>
      <c r="M46" s="14">
        <v>1644.815135868442</v>
      </c>
    </row>
    <row r="47" spans="1:13">
      <c r="A47" s="13">
        <v>45</v>
      </c>
      <c r="B47" s="7">
        <v>0.30555</v>
      </c>
      <c r="C47" s="15">
        <v>16.90553637582959</v>
      </c>
      <c r="D47" s="14">
        <v>18709.52724623368</v>
      </c>
      <c r="E47" s="14">
        <v>30974.22345998185</v>
      </c>
      <c r="F47" s="14">
        <v>62954.674299367</v>
      </c>
      <c r="G47" s="14">
        <v>5487.703521060544</v>
      </c>
      <c r="H47" s="14">
        <v>11522.55711800724</v>
      </c>
      <c r="I47" s="14">
        <v>27533.06053705349</v>
      </c>
      <c r="J47" s="14">
        <v>57210.55343362104</v>
      </c>
      <c r="K47" s="15">
        <v>4.116349057883426</v>
      </c>
      <c r="L47" s="14">
        <v>83886.92819415504</v>
      </c>
      <c r="M47" s="14">
        <v>1728.383567701086</v>
      </c>
    </row>
    <row r="48" spans="1:13">
      <c r="A48" s="13">
        <v>46</v>
      </c>
      <c r="B48" s="7">
        <v>0.30555</v>
      </c>
      <c r="C48" s="15">
        <v>17.60490094084225</v>
      </c>
      <c r="D48" s="14">
        <v>19137.99200686697</v>
      </c>
      <c r="E48" s="14">
        <v>32298.33434706431</v>
      </c>
      <c r="F48" s="14">
        <v>66308.91616836013</v>
      </c>
      <c r="G48" s="14">
        <v>5744.05478219923</v>
      </c>
      <c r="H48" s="14">
        <v>12068.27668477498</v>
      </c>
      <c r="I48" s="14">
        <v>29137.85032814978</v>
      </c>
      <c r="J48" s="14">
        <v>59276.75312177592</v>
      </c>
      <c r="K48" s="15">
        <v>4.259652620126931</v>
      </c>
      <c r="L48" s="14">
        <v>83886.92819415504</v>
      </c>
      <c r="M48" s="14">
        <v>1810.241502716247</v>
      </c>
    </row>
    <row r="49" spans="1:13">
      <c r="A49" s="13">
        <v>47</v>
      </c>
      <c r="B49" s="7">
        <v>0.30555</v>
      </c>
      <c r="C49" s="15">
        <v>18.29846992662534</v>
      </c>
      <c r="D49" s="14">
        <v>19601.91151734968</v>
      </c>
      <c r="E49" s="14">
        <v>33444.92251961838</v>
      </c>
      <c r="F49" s="14">
        <v>69902.31216792093</v>
      </c>
      <c r="G49" s="14">
        <v>5987.692287453854</v>
      </c>
      <c r="H49" s="14">
        <v>12710.9801345595</v>
      </c>
      <c r="I49" s="14">
        <v>30869.26734070827</v>
      </c>
      <c r="J49" s="14">
        <v>61110.17196761762</v>
      </c>
      <c r="K49" s="15">
        <v>4.404106287535631</v>
      </c>
      <c r="L49" s="14">
        <v>83886.92819415504</v>
      </c>
      <c r="M49" s="14">
        <v>1906.647020183924</v>
      </c>
    </row>
    <row r="50" spans="1:13">
      <c r="A50" s="13">
        <v>48</v>
      </c>
      <c r="B50" s="7">
        <v>0.30555</v>
      </c>
      <c r="C50" s="15">
        <v>19.03289224308688</v>
      </c>
      <c r="D50" s="14">
        <v>20152.33194812608</v>
      </c>
      <c r="E50" s="14">
        <v>34942.0237783333</v>
      </c>
      <c r="F50" s="14">
        <v>73443.55826253306</v>
      </c>
      <c r="G50" s="14">
        <v>6272.646684071001</v>
      </c>
      <c r="H50" s="14">
        <v>13353.47045006959</v>
      </c>
      <c r="I50" s="14">
        <v>32893.40756347447</v>
      </c>
      <c r="J50" s="14">
        <v>63121.60323767361</v>
      </c>
      <c r="K50" s="15">
        <v>4.537147484940263</v>
      </c>
      <c r="L50" s="14">
        <v>83886.92819415504</v>
      </c>
      <c r="M50" s="14">
        <v>2003.020567510438</v>
      </c>
    </row>
    <row r="51" spans="1:13">
      <c r="A51" s="13">
        <v>49</v>
      </c>
      <c r="B51" s="7">
        <v>0.30555</v>
      </c>
      <c r="C51" s="15">
        <v>19.80280352828587</v>
      </c>
      <c r="D51" s="14">
        <v>20638.6312707447</v>
      </c>
      <c r="E51" s="14">
        <v>36252.66937055575</v>
      </c>
      <c r="F51" s="14">
        <v>76868.24333530184</v>
      </c>
      <c r="G51" s="14">
        <v>6510.170456945021</v>
      </c>
      <c r="H51" s="14">
        <v>14038.1559902465</v>
      </c>
      <c r="I51" s="14">
        <v>34707.75901806903</v>
      </c>
      <c r="J51" s="14">
        <v>65377.72517213403</v>
      </c>
      <c r="K51" s="15">
        <v>4.698925921465214</v>
      </c>
      <c r="L51" s="14">
        <v>83886.92819415504</v>
      </c>
      <c r="M51" s="14">
        <v>2105.723398536975</v>
      </c>
    </row>
    <row r="52" spans="1:13">
      <c r="A52" s="13">
        <v>50</v>
      </c>
      <c r="B52" s="7">
        <v>0.30555</v>
      </c>
      <c r="C52" s="15">
        <v>20.5722613518205</v>
      </c>
      <c r="D52" s="14">
        <v>21138.61453740268</v>
      </c>
      <c r="E52" s="14">
        <v>37582.73211368224</v>
      </c>
      <c r="F52" s="14">
        <v>80849.23993924035</v>
      </c>
      <c r="G52" s="14">
        <v>6756.75438186379</v>
      </c>
      <c r="H52" s="14">
        <v>14733.08329330403</v>
      </c>
      <c r="I52" s="14">
        <v>37123.99194791233</v>
      </c>
      <c r="J52" s="14">
        <v>67583.2909660357</v>
      </c>
      <c r="K52" s="15">
        <v>4.862027860827133</v>
      </c>
      <c r="L52" s="14">
        <v>83886.92819415504</v>
      </c>
      <c r="M52" s="14">
        <v>2209.962493995604</v>
      </c>
    </row>
    <row r="53" spans="1:13">
      <c r="A53" s="13">
        <v>51</v>
      </c>
      <c r="B53" s="7">
        <v>0.30555</v>
      </c>
      <c r="C53" s="15">
        <v>21.37294142732289</v>
      </c>
      <c r="D53" s="14">
        <v>21713.29294614574</v>
      </c>
      <c r="E53" s="14">
        <v>38982.65520314579</v>
      </c>
      <c r="F53" s="14">
        <v>84700.15114084934</v>
      </c>
      <c r="G53" s="14">
        <v>7054.086243279628</v>
      </c>
      <c r="H53" s="14">
        <v>15381.79114980191</v>
      </c>
      <c r="I53" s="14">
        <v>39046.12569127251</v>
      </c>
      <c r="J53" s="14">
        <v>70024.50681514123</v>
      </c>
      <c r="K53" s="15">
        <v>5.026774111250681</v>
      </c>
      <c r="L53" s="14">
        <v>83886.92819415504</v>
      </c>
      <c r="M53" s="14">
        <v>2307.268672470287</v>
      </c>
    </row>
    <row r="54" spans="1:13">
      <c r="A54" s="13">
        <v>52</v>
      </c>
      <c r="B54" s="7">
        <v>0.30555</v>
      </c>
      <c r="C54" s="15">
        <v>22.16521071530846</v>
      </c>
      <c r="D54" s="14">
        <v>22310.03383302055</v>
      </c>
      <c r="E54" s="14">
        <v>40567.86860549113</v>
      </c>
      <c r="F54" s="14">
        <v>88751.29448342837</v>
      </c>
      <c r="G54" s="14">
        <v>7334.737908457827</v>
      </c>
      <c r="H54" s="14">
        <v>16028.31693785237</v>
      </c>
      <c r="I54" s="14">
        <v>41418.02001259953</v>
      </c>
      <c r="J54" s="14">
        <v>72230.2675651048</v>
      </c>
      <c r="K54" s="15">
        <v>5.179729539528974</v>
      </c>
      <c r="L54" s="14">
        <v>83886.92819415504</v>
      </c>
      <c r="M54" s="14">
        <v>2404.247540677855</v>
      </c>
    </row>
    <row r="55" spans="1:13">
      <c r="A55" s="13">
        <v>53</v>
      </c>
      <c r="B55" s="7">
        <v>0.30555</v>
      </c>
      <c r="C55" s="15">
        <v>22.97941056272008</v>
      </c>
      <c r="D55" s="14">
        <v>22872.99667474571</v>
      </c>
      <c r="E55" s="14">
        <v>41847.98884092916</v>
      </c>
      <c r="F55" s="14">
        <v>93183.98081267494</v>
      </c>
      <c r="G55" s="14">
        <v>7655.040789886518</v>
      </c>
      <c r="H55" s="14">
        <v>16649.04675534227</v>
      </c>
      <c r="I55" s="14">
        <v>43846.35544252254</v>
      </c>
      <c r="J55" s="14">
        <v>74425.12274221533</v>
      </c>
      <c r="K55" s="15">
        <v>5.327141573690062</v>
      </c>
      <c r="L55" s="14">
        <v>83886.92819415504</v>
      </c>
      <c r="M55" s="14">
        <v>2497.357013301341</v>
      </c>
    </row>
    <row r="56" spans="1:13">
      <c r="A56" s="13">
        <v>54</v>
      </c>
      <c r="B56" s="7">
        <v>0.30555</v>
      </c>
      <c r="C56" s="15">
        <v>23.89385022982826</v>
      </c>
      <c r="D56" s="14">
        <v>23439.56686988934</v>
      </c>
      <c r="E56" s="14">
        <v>43502.74019070444</v>
      </c>
      <c r="F56" s="14">
        <v>97412.49058139768</v>
      </c>
      <c r="G56" s="14">
        <v>7990.330188162096</v>
      </c>
      <c r="H56" s="14">
        <v>17409.68996863947</v>
      </c>
      <c r="I56" s="14">
        <v>45799.16973400276</v>
      </c>
      <c r="J56" s="14">
        <v>77144.1234655865</v>
      </c>
      <c r="K56" s="15">
        <v>5.489417572188289</v>
      </c>
      <c r="L56" s="14">
        <v>83886.92819415504</v>
      </c>
      <c r="M56" s="14">
        <v>2611.45349529592</v>
      </c>
    </row>
    <row r="57" spans="1:13">
      <c r="A57" s="13">
        <v>55</v>
      </c>
      <c r="B57" s="7">
        <v>0.30555</v>
      </c>
      <c r="C57" s="15">
        <v>24.80507944194548</v>
      </c>
      <c r="D57" s="14">
        <v>24086.23106173892</v>
      </c>
      <c r="E57" s="14">
        <v>44925.73483463348</v>
      </c>
      <c r="F57" s="14">
        <v>101258.2619184073</v>
      </c>
      <c r="G57" s="14">
        <v>8283.252639983768</v>
      </c>
      <c r="H57" s="14">
        <v>18164.90805972989</v>
      </c>
      <c r="I57" s="14">
        <v>48097.75422728092</v>
      </c>
      <c r="J57" s="14">
        <v>80016.53709152658</v>
      </c>
      <c r="K57" s="15">
        <v>5.644104869858796</v>
      </c>
      <c r="L57" s="14">
        <v>83886.92819415504</v>
      </c>
      <c r="M57" s="14">
        <v>2724.736208959483</v>
      </c>
    </row>
    <row r="58" spans="1:13">
      <c r="A58" s="13">
        <v>56</v>
      </c>
      <c r="B58" s="7">
        <v>0.30555</v>
      </c>
      <c r="C58" s="15">
        <v>25.73003452094796</v>
      </c>
      <c r="D58" s="14">
        <v>24708.56963175632</v>
      </c>
      <c r="E58" s="14">
        <v>46654.19770299875</v>
      </c>
      <c r="F58" s="14">
        <v>105265.4346412803</v>
      </c>
      <c r="G58" s="14">
        <v>8539.350660293134</v>
      </c>
      <c r="H58" s="14">
        <v>18992.5176333233</v>
      </c>
      <c r="I58" s="14">
        <v>50377.34218441426</v>
      </c>
      <c r="J58" s="14">
        <v>82423.98990871699</v>
      </c>
      <c r="K58" s="15">
        <v>5.807712712715219</v>
      </c>
      <c r="L58" s="14">
        <v>83886.92819415504</v>
      </c>
      <c r="M58" s="14">
        <v>2848.877644998495</v>
      </c>
    </row>
    <row r="59" spans="1:13">
      <c r="A59" s="13">
        <v>57</v>
      </c>
      <c r="B59" s="7">
        <v>0.30555</v>
      </c>
      <c r="C59" s="15">
        <v>26.71580104384563</v>
      </c>
      <c r="D59" s="14">
        <v>25397.96236590118</v>
      </c>
      <c r="E59" s="14">
        <v>48603.03242363509</v>
      </c>
      <c r="F59" s="14">
        <v>109575.8701431492</v>
      </c>
      <c r="G59" s="14">
        <v>8841.164502608184</v>
      </c>
      <c r="H59" s="14">
        <v>19920.86830059402</v>
      </c>
      <c r="I59" s="14">
        <v>52807.74177778162</v>
      </c>
      <c r="J59" s="14">
        <v>85188.77963962237</v>
      </c>
      <c r="K59" s="15">
        <v>5.970144757307285</v>
      </c>
      <c r="L59" s="14">
        <v>83886.92819415504</v>
      </c>
      <c r="M59" s="14">
        <v>2988.130245089103</v>
      </c>
    </row>
    <row r="60" spans="1:13">
      <c r="A60" s="13">
        <v>58</v>
      </c>
      <c r="B60" s="7">
        <v>0.30555</v>
      </c>
      <c r="C60" s="15">
        <v>27.68073109250895</v>
      </c>
      <c r="D60" s="14">
        <v>26007.38253935483</v>
      </c>
      <c r="E60" s="14">
        <v>50240.76193646943</v>
      </c>
      <c r="F60" s="14">
        <v>113188.0517282327</v>
      </c>
      <c r="G60" s="14">
        <v>9141.482642690557</v>
      </c>
      <c r="H60" s="14">
        <v>20747.67122205991</v>
      </c>
      <c r="I60" s="14">
        <v>54886.71560091614</v>
      </c>
      <c r="J60" s="14">
        <v>87952.60484216963</v>
      </c>
      <c r="K60" s="15">
        <v>6.091370645978927</v>
      </c>
      <c r="L60" s="14">
        <v>83886.92819415504</v>
      </c>
      <c r="M60" s="14">
        <v>3112.150683308986</v>
      </c>
    </row>
    <row r="61" spans="1:13">
      <c r="A61" s="13">
        <v>59</v>
      </c>
      <c r="B61" s="7">
        <v>0.30555</v>
      </c>
      <c r="C61" s="15">
        <v>28.7542352861003</v>
      </c>
      <c r="D61" s="14">
        <v>26675.09446938265</v>
      </c>
      <c r="E61" s="14">
        <v>52015.86763697862</v>
      </c>
      <c r="F61" s="14">
        <v>117177.1780401898</v>
      </c>
      <c r="G61" s="14">
        <v>9493.766865208509</v>
      </c>
      <c r="H61" s="14">
        <v>21512.16485817628</v>
      </c>
      <c r="I61" s="14">
        <v>57214.94721114585</v>
      </c>
      <c r="J61" s="14">
        <v>90689.04391272011</v>
      </c>
      <c r="K61" s="15">
        <v>6.31196679282244</v>
      </c>
      <c r="L61" s="14">
        <v>83886.92819415504</v>
      </c>
      <c r="M61" s="14">
        <v>3226.824728726442</v>
      </c>
    </row>
    <row r="62" spans="1:13">
      <c r="A62" s="13">
        <v>60</v>
      </c>
      <c r="B62" s="7">
        <v>0.30555</v>
      </c>
      <c r="C62" s="15">
        <v>29.82080599125745</v>
      </c>
      <c r="D62" s="14">
        <v>27249.93866541725</v>
      </c>
      <c r="E62" s="14">
        <v>53920.18009722037</v>
      </c>
      <c r="F62" s="14">
        <v>121039.1218487303</v>
      </c>
      <c r="G62" s="14">
        <v>9777.299841175438</v>
      </c>
      <c r="H62" s="14">
        <v>22428.7985235546</v>
      </c>
      <c r="I62" s="14">
        <v>59209.92302204584</v>
      </c>
      <c r="J62" s="14">
        <v>93365.26880054171</v>
      </c>
      <c r="K62" s="15">
        <v>6.522600471042816</v>
      </c>
      <c r="L62" s="14">
        <v>83886.92819415504</v>
      </c>
      <c r="M62" s="14">
        <v>3364.319778533189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B84"/>
  <sheetViews>
    <sheetView workbookViewId="0">
      <pane ySplit="24" topLeftCell="A25" activePane="bottomLeft" state="frozen"/>
      <selection pane="bottomLeft"/>
    </sheetView>
  </sheetViews>
  <sheetFormatPr defaultRowHeight="15"/>
  <cols>
    <col min="1" max="1" width="20.7109375" customWidth="1"/>
    <col min="2" max="2" width="16.7109375" customWidth="1"/>
  </cols>
  <sheetData>
    <row r="1" spans="1:2">
      <c r="A1" s="6" t="s">
        <v>1839</v>
      </c>
    </row>
    <row r="2" spans="1:2" ht="34" customHeight="1">
      <c r="A2" s="5" t="s">
        <v>1840</v>
      </c>
      <c r="B2" s="5" t="s">
        <v>1841</v>
      </c>
    </row>
    <row r="3" spans="1:2">
      <c r="A3" s="7">
        <v>0.05</v>
      </c>
      <c r="B3" s="14">
        <v>-106063.4700968962</v>
      </c>
    </row>
    <row r="4" spans="1:2">
      <c r="A4" s="7">
        <v>0.1</v>
      </c>
      <c r="B4" s="14">
        <v>-99832.44973726924</v>
      </c>
    </row>
    <row r="5" spans="1:2">
      <c r="A5" s="7">
        <v>0.15</v>
      </c>
      <c r="B5" s="14">
        <v>-95491.81491647905</v>
      </c>
    </row>
    <row r="6" spans="1:2">
      <c r="A6" s="7">
        <v>0.2</v>
      </c>
      <c r="B6" s="14">
        <v>-91513.72406846558</v>
      </c>
    </row>
    <row r="7" spans="1:2">
      <c r="A7" s="7">
        <v>0.25</v>
      </c>
      <c r="B7" s="14">
        <v>-88014.08993343879</v>
      </c>
    </row>
    <row r="8" spans="1:2">
      <c r="A8" s="7">
        <v>0.3</v>
      </c>
      <c r="B8" s="14">
        <v>-84878.63655996459</v>
      </c>
    </row>
    <row r="9" spans="1:2">
      <c r="A9" s="7">
        <v>0.35</v>
      </c>
      <c r="B9" s="14">
        <v>-81794.25890195896</v>
      </c>
    </row>
    <row r="10" spans="1:2">
      <c r="A10" s="7">
        <v>0.4</v>
      </c>
      <c r="B10" s="14">
        <v>-78697.24629749409</v>
      </c>
    </row>
    <row r="11" spans="1:2">
      <c r="A11" s="7">
        <v>0.45</v>
      </c>
      <c r="B11" s="14">
        <v>-75475.58615691413</v>
      </c>
    </row>
    <row r="12" spans="1:2">
      <c r="A12" s="7">
        <v>0.5</v>
      </c>
      <c r="B12" s="14">
        <v>-71942.96494567904</v>
      </c>
    </row>
    <row r="13" spans="1:2">
      <c r="A13" s="7">
        <v>0.55</v>
      </c>
      <c r="B13" s="14">
        <v>-67654.67586527771</v>
      </c>
    </row>
    <row r="14" spans="1:2">
      <c r="A14" s="7">
        <v>0.6</v>
      </c>
      <c r="B14" s="14">
        <v>-62819.8949534538</v>
      </c>
    </row>
    <row r="15" spans="1:2">
      <c r="A15" s="7">
        <v>0.65</v>
      </c>
      <c r="B15" s="14">
        <v>-55510.13476659323</v>
      </c>
    </row>
    <row r="16" spans="1:2">
      <c r="A16" s="7">
        <v>0.7</v>
      </c>
      <c r="B16" s="14">
        <v>-26529.04980438492</v>
      </c>
    </row>
    <row r="17" spans="1:2">
      <c r="A17" s="7">
        <v>0.75</v>
      </c>
      <c r="B17" s="14">
        <v>67237.4265350028</v>
      </c>
    </row>
    <row r="18" spans="1:2">
      <c r="A18" s="7">
        <v>0.8</v>
      </c>
      <c r="B18" s="14">
        <v>175983.6258239894</v>
      </c>
    </row>
    <row r="19" spans="1:2">
      <c r="A19" s="7">
        <v>0.85</v>
      </c>
      <c r="B19" s="14">
        <v>345736.3473353719</v>
      </c>
    </row>
    <row r="20" spans="1:2">
      <c r="A20" s="7">
        <v>0.9</v>
      </c>
      <c r="B20" s="14">
        <v>689485.6382579607</v>
      </c>
    </row>
    <row r="21" spans="1:2">
      <c r="A21" s="7">
        <v>0.95</v>
      </c>
      <c r="B21" s="14">
        <v>1602995.052541727</v>
      </c>
    </row>
    <row r="23" spans="1:2">
      <c r="A23" s="4" t="s">
        <v>1842</v>
      </c>
    </row>
    <row r="24" spans="1:2" ht="34" customHeight="1">
      <c r="A24" s="5" t="s">
        <v>1843</v>
      </c>
      <c r="B24" s="5" t="s">
        <v>1844</v>
      </c>
    </row>
    <row r="25" spans="1:2">
      <c r="A25" s="14">
        <v>-96720.94300720849</v>
      </c>
      <c r="B25" s="13">
        <v>12099</v>
      </c>
    </row>
    <row r="26" spans="1:2">
      <c r="A26" s="14">
        <v>-27868.49018355791</v>
      </c>
      <c r="B26" s="13">
        <v>2189</v>
      </c>
    </row>
    <row r="27" spans="1:2">
      <c r="A27" s="14">
        <v>40983.96264009266</v>
      </c>
      <c r="B27" s="13">
        <v>796</v>
      </c>
    </row>
    <row r="28" spans="1:2">
      <c r="A28" s="14">
        <v>109836.4154637432</v>
      </c>
      <c r="B28" s="13">
        <v>681</v>
      </c>
    </row>
    <row r="29" spans="1:2">
      <c r="A29" s="14">
        <v>178688.8682873938</v>
      </c>
      <c r="B29" s="13">
        <v>491</v>
      </c>
    </row>
    <row r="30" spans="1:2">
      <c r="A30" s="14">
        <v>247541.3211110444</v>
      </c>
      <c r="B30" s="13">
        <v>443</v>
      </c>
    </row>
    <row r="31" spans="1:2">
      <c r="A31" s="14">
        <v>316393.7739346949</v>
      </c>
      <c r="B31" s="13">
        <v>335</v>
      </c>
    </row>
    <row r="32" spans="1:2">
      <c r="A32" s="14">
        <v>385246.2267583455</v>
      </c>
      <c r="B32" s="13">
        <v>242</v>
      </c>
    </row>
    <row r="33" spans="1:2">
      <c r="A33" s="14">
        <v>454098.6795819961</v>
      </c>
      <c r="B33" s="13">
        <v>233</v>
      </c>
    </row>
    <row r="34" spans="1:2">
      <c r="A34" s="14">
        <v>522951.1324056466</v>
      </c>
      <c r="B34" s="13">
        <v>183</v>
      </c>
    </row>
    <row r="35" spans="1:2">
      <c r="A35" s="14">
        <v>591803.5852292972</v>
      </c>
      <c r="B35" s="13">
        <v>177</v>
      </c>
    </row>
    <row r="36" spans="1:2">
      <c r="A36" s="14">
        <v>660656.0380529477</v>
      </c>
      <c r="B36" s="13">
        <v>141</v>
      </c>
    </row>
    <row r="37" spans="1:2">
      <c r="A37" s="14">
        <v>729508.4908765984</v>
      </c>
      <c r="B37" s="13">
        <v>146</v>
      </c>
    </row>
    <row r="38" spans="1:2">
      <c r="A38" s="14">
        <v>798360.943700249</v>
      </c>
      <c r="B38" s="13">
        <v>104</v>
      </c>
    </row>
    <row r="39" spans="1:2">
      <c r="A39" s="14">
        <v>867213.3965238995</v>
      </c>
      <c r="B39" s="13">
        <v>88</v>
      </c>
    </row>
    <row r="40" spans="1:2">
      <c r="A40" s="14">
        <v>936065.8493475501</v>
      </c>
      <c r="B40" s="13">
        <v>69</v>
      </c>
    </row>
    <row r="41" spans="1:2">
      <c r="A41" s="14">
        <v>1004918.302171201</v>
      </c>
      <c r="B41" s="13">
        <v>88</v>
      </c>
    </row>
    <row r="42" spans="1:2">
      <c r="A42" s="14">
        <v>1073770.754994851</v>
      </c>
      <c r="B42" s="13">
        <v>81</v>
      </c>
    </row>
    <row r="43" spans="1:2">
      <c r="A43" s="14">
        <v>1142623.207818502</v>
      </c>
      <c r="B43" s="13">
        <v>70</v>
      </c>
    </row>
    <row r="44" spans="1:2">
      <c r="A44" s="14">
        <v>1211475.660642152</v>
      </c>
      <c r="B44" s="13">
        <v>82</v>
      </c>
    </row>
    <row r="45" spans="1:2">
      <c r="A45" s="14">
        <v>1280328.113465803</v>
      </c>
      <c r="B45" s="13">
        <v>62</v>
      </c>
    </row>
    <row r="46" spans="1:2">
      <c r="A46" s="14">
        <v>1349180.566289454</v>
      </c>
      <c r="B46" s="13">
        <v>50</v>
      </c>
    </row>
    <row r="47" spans="1:2">
      <c r="A47" s="14">
        <v>1418033.019113104</v>
      </c>
      <c r="B47" s="13">
        <v>54</v>
      </c>
    </row>
    <row r="48" spans="1:2">
      <c r="A48" s="14">
        <v>1486885.471936755</v>
      </c>
      <c r="B48" s="13">
        <v>42</v>
      </c>
    </row>
    <row r="49" spans="1:2">
      <c r="A49" s="14">
        <v>1555737.924760405</v>
      </c>
      <c r="B49" s="13">
        <v>43</v>
      </c>
    </row>
    <row r="50" spans="1:2">
      <c r="A50" s="14">
        <v>1624590.377584056</v>
      </c>
      <c r="B50" s="13">
        <v>41</v>
      </c>
    </row>
    <row r="51" spans="1:2">
      <c r="A51" s="14">
        <v>1693442.830407707</v>
      </c>
      <c r="B51" s="13">
        <v>46</v>
      </c>
    </row>
    <row r="52" spans="1:2">
      <c r="A52" s="14">
        <v>1762295.283231357</v>
      </c>
      <c r="B52" s="13">
        <v>45</v>
      </c>
    </row>
    <row r="53" spans="1:2">
      <c r="A53" s="14">
        <v>1831147.736055008</v>
      </c>
      <c r="B53" s="13">
        <v>50</v>
      </c>
    </row>
    <row r="54" spans="1:2">
      <c r="A54" s="14">
        <v>1900000.188878658</v>
      </c>
      <c r="B54" s="13">
        <v>40</v>
      </c>
    </row>
    <row r="55" spans="1:2">
      <c r="A55" s="14">
        <v>1968852.641702309</v>
      </c>
      <c r="B55" s="13">
        <v>42</v>
      </c>
    </row>
    <row r="56" spans="1:2">
      <c r="A56" s="14">
        <v>2037705.094525959</v>
      </c>
      <c r="B56" s="13">
        <v>31</v>
      </c>
    </row>
    <row r="57" spans="1:2">
      <c r="A57" s="14">
        <v>2106557.54734961</v>
      </c>
      <c r="B57" s="13">
        <v>34</v>
      </c>
    </row>
    <row r="58" spans="1:2">
      <c r="A58" s="14">
        <v>2175410.00017326</v>
      </c>
      <c r="B58" s="13">
        <v>33</v>
      </c>
    </row>
    <row r="59" spans="1:2">
      <c r="A59" s="14">
        <v>2244262.452996911</v>
      </c>
      <c r="B59" s="13">
        <v>27</v>
      </c>
    </row>
    <row r="60" spans="1:2">
      <c r="A60" s="14">
        <v>2313114.905820562</v>
      </c>
      <c r="B60" s="13">
        <v>30</v>
      </c>
    </row>
    <row r="61" spans="1:2">
      <c r="A61" s="14">
        <v>2381967.358644212</v>
      </c>
      <c r="B61" s="13">
        <v>18</v>
      </c>
    </row>
    <row r="62" spans="1:2">
      <c r="A62" s="14">
        <v>2450819.811467863</v>
      </c>
      <c r="B62" s="13">
        <v>18</v>
      </c>
    </row>
    <row r="63" spans="1:2">
      <c r="A63" s="14">
        <v>2519672.264291513</v>
      </c>
      <c r="B63" s="13">
        <v>24</v>
      </c>
    </row>
    <row r="64" spans="1:2">
      <c r="A64" s="14">
        <v>2588524.717115164</v>
      </c>
      <c r="B64" s="13">
        <v>21</v>
      </c>
    </row>
    <row r="65" spans="1:2">
      <c r="A65" s="14">
        <v>2657377.169938814</v>
      </c>
      <c r="B65" s="13">
        <v>31</v>
      </c>
    </row>
    <row r="66" spans="1:2">
      <c r="A66" s="14">
        <v>2726229.622762465</v>
      </c>
      <c r="B66" s="13">
        <v>21</v>
      </c>
    </row>
    <row r="67" spans="1:2">
      <c r="A67" s="14">
        <v>2795082.075586115</v>
      </c>
      <c r="B67" s="13">
        <v>24</v>
      </c>
    </row>
    <row r="68" spans="1:2">
      <c r="A68" s="14">
        <v>2863934.528409766</v>
      </c>
      <c r="B68" s="13">
        <v>24</v>
      </c>
    </row>
    <row r="69" spans="1:2">
      <c r="A69" s="14">
        <v>2932786.981233416</v>
      </c>
      <c r="B69" s="13">
        <v>22</v>
      </c>
    </row>
    <row r="70" spans="1:2">
      <c r="A70" s="14">
        <v>3001639.434057067</v>
      </c>
      <c r="B70" s="13">
        <v>18</v>
      </c>
    </row>
    <row r="71" spans="1:2">
      <c r="A71" s="14">
        <v>3070491.886880717</v>
      </c>
      <c r="B71" s="13">
        <v>17</v>
      </c>
    </row>
    <row r="72" spans="1:2">
      <c r="A72" s="14">
        <v>3139344.339704368</v>
      </c>
      <c r="B72" s="13">
        <v>17</v>
      </c>
    </row>
    <row r="73" spans="1:2">
      <c r="A73" s="14">
        <v>3208196.792528019</v>
      </c>
      <c r="B73" s="13">
        <v>11</v>
      </c>
    </row>
    <row r="74" spans="1:2">
      <c r="A74" s="14">
        <v>3277049.245351669</v>
      </c>
      <c r="B74" s="13">
        <v>18</v>
      </c>
    </row>
    <row r="75" spans="1:2">
      <c r="A75" s="14">
        <v>3345901.69817532</v>
      </c>
      <c r="B75" s="13">
        <v>10</v>
      </c>
    </row>
    <row r="76" spans="1:2">
      <c r="A76" s="14">
        <v>3414754.15099897</v>
      </c>
      <c r="B76" s="13">
        <v>6</v>
      </c>
    </row>
    <row r="77" spans="1:2">
      <c r="A77" s="14">
        <v>3483606.603822622</v>
      </c>
      <c r="B77" s="13">
        <v>13</v>
      </c>
    </row>
    <row r="78" spans="1:2">
      <c r="A78" s="14">
        <v>3552459.056646272</v>
      </c>
      <c r="B78" s="13">
        <v>9</v>
      </c>
    </row>
    <row r="79" spans="1:2">
      <c r="A79" s="14">
        <v>3621311.509469923</v>
      </c>
      <c r="B79" s="13">
        <v>20</v>
      </c>
    </row>
    <row r="80" spans="1:2">
      <c r="A80" s="14">
        <v>3690163.962293573</v>
      </c>
      <c r="B80" s="13">
        <v>2</v>
      </c>
    </row>
    <row r="81" spans="1:2">
      <c r="A81" s="14">
        <v>3759016.415117224</v>
      </c>
      <c r="B81" s="13">
        <v>7</v>
      </c>
    </row>
    <row r="82" spans="1:2">
      <c r="A82" s="14">
        <v>3827868.867940874</v>
      </c>
      <c r="B82" s="13">
        <v>9</v>
      </c>
    </row>
    <row r="83" spans="1:2">
      <c r="A83" s="14">
        <v>3896721.320764525</v>
      </c>
      <c r="B83" s="13">
        <v>8</v>
      </c>
    </row>
    <row r="84" spans="1:2">
      <c r="A84" s="14">
        <v>3965573.773588175</v>
      </c>
      <c r="B84" s="13">
        <v>224</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F15"/>
  <sheetViews>
    <sheetView workbookViewId="0">
      <pane ySplit="2" topLeftCell="A3" activePane="bottomLeft" state="frozen"/>
      <selection pane="bottomLeft"/>
    </sheetView>
  </sheetViews>
  <sheetFormatPr defaultRowHeight="15"/>
  <cols>
    <col min="1" max="1" width="42.7109375" customWidth="1"/>
    <col min="2" max="2" width="24.7109375" customWidth="1"/>
    <col min="3" max="3" width="25.7109375" customWidth="1"/>
    <col min="4" max="4" width="16.7109375" customWidth="1"/>
    <col min="5" max="6" width="18.7109375" customWidth="1"/>
  </cols>
  <sheetData>
    <row r="1" spans="1:6">
      <c r="A1" s="6" t="s">
        <v>1845</v>
      </c>
    </row>
    <row r="2" spans="1:6" ht="34" customHeight="1">
      <c r="A2" s="5" t="s">
        <v>1846</v>
      </c>
      <c r="B2" s="5" t="s">
        <v>1847</v>
      </c>
      <c r="C2" s="5" t="s">
        <v>1848</v>
      </c>
      <c r="D2" s="5" t="s">
        <v>1714</v>
      </c>
      <c r="E2" s="5" t="s">
        <v>1849</v>
      </c>
      <c r="F2" s="5" t="s">
        <v>1850</v>
      </c>
    </row>
    <row r="3" spans="1:6">
      <c r="A3" s="3" t="s">
        <v>1851</v>
      </c>
      <c r="B3" s="14">
        <v>6723.402102095088</v>
      </c>
      <c r="C3" s="14">
        <v>509749.4791667493</v>
      </c>
      <c r="D3" s="14">
        <v>503026.0770646543</v>
      </c>
      <c r="E3" s="14">
        <v>-207077.0768318748</v>
      </c>
      <c r="F3" s="14">
        <v>295949.0002327795</v>
      </c>
    </row>
    <row r="4" spans="1:6">
      <c r="A4" s="3" t="s">
        <v>1852</v>
      </c>
      <c r="B4" s="14">
        <v>31376.95172825864</v>
      </c>
      <c r="C4" s="14">
        <v>477418.9113653954</v>
      </c>
      <c r="D4" s="14">
        <v>446041.9596371368</v>
      </c>
      <c r="E4" s="14">
        <v>-182423.5272057112</v>
      </c>
      <c r="F4" s="14">
        <v>263618.4324314256</v>
      </c>
    </row>
    <row r="5" spans="1:6">
      <c r="A5" s="3" t="s">
        <v>1853</v>
      </c>
      <c r="B5" s="14">
        <v>44324.00222473277</v>
      </c>
      <c r="C5" s="14">
        <v>283721.4640450937</v>
      </c>
      <c r="D5" s="14">
        <v>239397.4618203609</v>
      </c>
      <c r="E5" s="14">
        <v>-169476.4767092371</v>
      </c>
      <c r="F5" s="14">
        <v>69920.98511112382</v>
      </c>
    </row>
    <row r="6" spans="1:6">
      <c r="A6" s="3" t="s">
        <v>1854</v>
      </c>
      <c r="B6" s="14">
        <v>103038.1227593085</v>
      </c>
      <c r="C6" s="14">
        <v>298198.1169264479</v>
      </c>
      <c r="D6" s="14">
        <v>195159.9941671393</v>
      </c>
      <c r="E6" s="14">
        <v>-110762.3561746613</v>
      </c>
      <c r="F6" s="14">
        <v>84397.63799247803</v>
      </c>
    </row>
    <row r="7" spans="1:6">
      <c r="A7" s="3" t="s">
        <v>1855</v>
      </c>
      <c r="B7" s="14">
        <v>126418.5537833059</v>
      </c>
      <c r="C7" s="14">
        <v>301182.4040846338</v>
      </c>
      <c r="D7" s="14">
        <v>174763.8503013279</v>
      </c>
      <c r="E7" s="14">
        <v>-87381.92515066394</v>
      </c>
      <c r="F7" s="14">
        <v>87381.92515066394</v>
      </c>
    </row>
    <row r="8" spans="1:6">
      <c r="A8" s="3" t="s">
        <v>1856</v>
      </c>
      <c r="B8" s="14">
        <v>142234.9364331478</v>
      </c>
      <c r="C8" s="14">
        <v>275571.8926162568</v>
      </c>
      <c r="D8" s="14">
        <v>133336.956183109</v>
      </c>
      <c r="E8" s="14">
        <v>-71565.54250082208</v>
      </c>
      <c r="F8" s="14">
        <v>61771.41368228692</v>
      </c>
    </row>
    <row r="9" spans="1:6">
      <c r="A9" s="3" t="s">
        <v>1857</v>
      </c>
      <c r="B9" s="14">
        <v>161225.8540077124</v>
      </c>
      <c r="C9" s="14">
        <v>252445.231696576</v>
      </c>
      <c r="D9" s="14">
        <v>91219.37768886361</v>
      </c>
      <c r="E9" s="14">
        <v>-52574.6249262575</v>
      </c>
      <c r="F9" s="14">
        <v>38644.75276260611</v>
      </c>
    </row>
    <row r="10" spans="1:6">
      <c r="A10" s="3" t="s">
        <v>1858</v>
      </c>
      <c r="B10" s="14">
        <v>152739.1681445944</v>
      </c>
      <c r="C10" s="14">
        <v>237945.4903942403</v>
      </c>
      <c r="D10" s="14">
        <v>85206.32224964595</v>
      </c>
      <c r="E10" s="14">
        <v>-61061.31078937548</v>
      </c>
      <c r="F10" s="14">
        <v>24145.01146027047</v>
      </c>
    </row>
    <row r="11" spans="1:6">
      <c r="A11" s="3" t="s">
        <v>1859</v>
      </c>
      <c r="B11" s="14">
        <v>171647.3475897147</v>
      </c>
      <c r="C11" s="14">
        <v>235641.1573481721</v>
      </c>
      <c r="D11" s="14">
        <v>63993.80975845741</v>
      </c>
      <c r="E11" s="14">
        <v>-42153.13134425518</v>
      </c>
      <c r="F11" s="14">
        <v>21840.67841420224</v>
      </c>
    </row>
    <row r="12" spans="1:6">
      <c r="A12" s="3" t="s">
        <v>1860</v>
      </c>
      <c r="B12" s="14">
        <v>178604.6897237817</v>
      </c>
      <c r="C12" s="14">
        <v>236066.2105195547</v>
      </c>
      <c r="D12" s="14">
        <v>57461.52079577299</v>
      </c>
      <c r="E12" s="14">
        <v>-35195.78921018814</v>
      </c>
      <c r="F12" s="14">
        <v>22265.73158558484</v>
      </c>
    </row>
    <row r="13" spans="1:6">
      <c r="A13" s="3" t="s">
        <v>1861</v>
      </c>
      <c r="B13" s="14">
        <v>190284.7556586215</v>
      </c>
      <c r="C13" s="14">
        <v>224915.1070911083</v>
      </c>
      <c r="D13" s="14">
        <v>34630.35143248684</v>
      </c>
      <c r="E13" s="14">
        <v>-23515.7232753484</v>
      </c>
      <c r="F13" s="14">
        <v>11114.62815713845</v>
      </c>
    </row>
    <row r="14" spans="1:6">
      <c r="A14" s="3" t="s">
        <v>1862</v>
      </c>
      <c r="B14" s="14">
        <v>189611.6863387994</v>
      </c>
      <c r="C14" s="14">
        <v>223100.675303695</v>
      </c>
      <c r="D14" s="14">
        <v>33488.98896489557</v>
      </c>
      <c r="E14" s="14">
        <v>-24188.79259517044</v>
      </c>
      <c r="F14" s="14">
        <v>9300.196369725134</v>
      </c>
    </row>
    <row r="15" spans="1:6">
      <c r="A15" s="3" t="s">
        <v>1863</v>
      </c>
      <c r="B15" s="14">
        <v>194916.2404348982</v>
      </c>
      <c r="C15" s="14">
        <v>222961.4430882231</v>
      </c>
      <c r="D15" s="14">
        <v>28045.20265332484</v>
      </c>
      <c r="E15" s="14">
        <v>-18884.23849907165</v>
      </c>
      <c r="F15" s="14">
        <v>9160.96415425319</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B1:C1963"/>
  <sheetViews>
    <sheetView workbookViewId="0"/>
  </sheetViews>
  <sheetFormatPr defaultRowHeight="15"/>
  <cols>
    <col min="1" max="1" width="3.7109375" customWidth="1"/>
    <col min="2" max="2" width="26.7109375" customWidth="1"/>
    <col min="3" max="3" width="120.7109375" customWidth="1"/>
  </cols>
  <sheetData>
    <row r="1" spans="2:3">
      <c r="B1" s="1" t="s">
        <v>1864</v>
      </c>
    </row>
    <row r="3" spans="2:3">
      <c r="B3" s="4" t="s">
        <v>1865</v>
      </c>
    </row>
    <row r="4" spans="2:3">
      <c r="C4" s="16" t="s">
        <v>1866</v>
      </c>
    </row>
    <row r="5" spans="2:3">
      <c r="C5" s="16" t="s">
        <v>1867</v>
      </c>
    </row>
    <row r="6" spans="2:3">
      <c r="C6" s="16" t="s">
        <v>1868</v>
      </c>
    </row>
    <row r="7" spans="2:3">
      <c r="C7" s="16" t="s">
        <v>1869</v>
      </c>
    </row>
    <row r="8" spans="2:3">
      <c r="C8" s="16" t="s">
        <v>1870</v>
      </c>
    </row>
    <row r="9" spans="2:3">
      <c r="C9" s="16" t="s">
        <v>1871</v>
      </c>
    </row>
    <row r="10" spans="2:3">
      <c r="C10" s="16" t="s">
        <v>1872</v>
      </c>
    </row>
    <row r="11" spans="2:3">
      <c r="C11" s="16" t="s">
        <v>1873</v>
      </c>
    </row>
    <row r="12" spans="2:3">
      <c r="C12" s="16" t="s">
        <v>1874</v>
      </c>
    </row>
    <row r="13" spans="2:3">
      <c r="C13" s="16" t="s">
        <v>1875</v>
      </c>
    </row>
    <row r="14" spans="2:3">
      <c r="C14" s="16" t="s">
        <v>1876</v>
      </c>
    </row>
    <row r="15" spans="2:3">
      <c r="C15" s="16" t="s">
        <v>1877</v>
      </c>
    </row>
    <row r="16" spans="2:3">
      <c r="C16" s="16" t="s">
        <v>1878</v>
      </c>
    </row>
    <row r="17" spans="3:3">
      <c r="C17" s="16" t="s">
        <v>1879</v>
      </c>
    </row>
    <row r="18" spans="3:3">
      <c r="C18" s="16" t="s">
        <v>1880</v>
      </c>
    </row>
    <row r="19" spans="3:3">
      <c r="C19" s="16" t="s">
        <v>1881</v>
      </c>
    </row>
    <row r="20" spans="3:3">
      <c r="C20" s="16" t="s">
        <v>1882</v>
      </c>
    </row>
    <row r="21" spans="3:3">
      <c r="C21" s="16" t="s">
        <v>1883</v>
      </c>
    </row>
    <row r="22" spans="3:3">
      <c r="C22" s="16" t="s">
        <v>1884</v>
      </c>
    </row>
    <row r="23" spans="3:3">
      <c r="C23" s="16" t="s">
        <v>1885</v>
      </c>
    </row>
    <row r="24" spans="3:3">
      <c r="C24" s="16" t="s">
        <v>1886</v>
      </c>
    </row>
    <row r="25" spans="3:3">
      <c r="C25" s="16" t="s">
        <v>1887</v>
      </c>
    </row>
    <row r="26" spans="3:3">
      <c r="C26" s="16" t="s">
        <v>1888</v>
      </c>
    </row>
    <row r="27" spans="3:3">
      <c r="C27" s="16" t="s">
        <v>1889</v>
      </c>
    </row>
    <row r="28" spans="3:3">
      <c r="C28" s="16" t="s">
        <v>1890</v>
      </c>
    </row>
    <row r="29" spans="3:3">
      <c r="C29" s="16" t="s">
        <v>1891</v>
      </c>
    </row>
    <row r="30" spans="3:3">
      <c r="C30" s="16" t="s">
        <v>1892</v>
      </c>
    </row>
    <row r="31" spans="3:3">
      <c r="C31" s="16" t="s">
        <v>1893</v>
      </c>
    </row>
    <row r="32" spans="3:3">
      <c r="C32" s="16" t="s">
        <v>1894</v>
      </c>
    </row>
    <row r="33" spans="3:3">
      <c r="C33" s="16" t="s">
        <v>1895</v>
      </c>
    </row>
    <row r="34" spans="3:3">
      <c r="C34" s="16" t="s">
        <v>1896</v>
      </c>
    </row>
    <row r="35" spans="3:3">
      <c r="C35" s="16" t="s">
        <v>1897</v>
      </c>
    </row>
    <row r="36" spans="3:3">
      <c r="C36" s="16" t="s">
        <v>1898</v>
      </c>
    </row>
    <row r="37" spans="3:3">
      <c r="C37" s="16" t="s">
        <v>1899</v>
      </c>
    </row>
    <row r="38" spans="3:3">
      <c r="C38" s="16" t="s">
        <v>1900</v>
      </c>
    </row>
    <row r="39" spans="3:3">
      <c r="C39" s="16" t="s">
        <v>1901</v>
      </c>
    </row>
    <row r="40" spans="3:3">
      <c r="C40" s="16" t="s">
        <v>1902</v>
      </c>
    </row>
    <row r="41" spans="3:3">
      <c r="C41" s="16" t="s">
        <v>1903</v>
      </c>
    </row>
    <row r="42" spans="3:3">
      <c r="C42" s="16" t="s">
        <v>1904</v>
      </c>
    </row>
    <row r="43" spans="3:3">
      <c r="C43" s="16" t="s">
        <v>1905</v>
      </c>
    </row>
    <row r="44" spans="3:3">
      <c r="C44" s="16" t="s">
        <v>1906</v>
      </c>
    </row>
    <row r="45" spans="3:3">
      <c r="C45" s="16" t="s">
        <v>1907</v>
      </c>
    </row>
    <row r="46" spans="3:3">
      <c r="C46" s="16" t="s">
        <v>1908</v>
      </c>
    </row>
    <row r="47" spans="3:3">
      <c r="C47" s="16" t="s">
        <v>1909</v>
      </c>
    </row>
    <row r="48" spans="3:3">
      <c r="C48" s="16" t="s">
        <v>1910</v>
      </c>
    </row>
    <row r="49" spans="3:3">
      <c r="C49" s="16" t="s">
        <v>1911</v>
      </c>
    </row>
    <row r="50" spans="3:3">
      <c r="C50" s="16" t="s">
        <v>1912</v>
      </c>
    </row>
    <row r="51" spans="3:3">
      <c r="C51" s="16" t="s">
        <v>1913</v>
      </c>
    </row>
    <row r="52" spans="3:3">
      <c r="C52" s="16" t="s">
        <v>1914</v>
      </c>
    </row>
    <row r="53" spans="3:3">
      <c r="C53" s="16" t="s">
        <v>1915</v>
      </c>
    </row>
    <row r="54" spans="3:3">
      <c r="C54" s="16" t="s">
        <v>1916</v>
      </c>
    </row>
    <row r="55" spans="3:3">
      <c r="C55" s="16" t="s">
        <v>1917</v>
      </c>
    </row>
    <row r="56" spans="3:3">
      <c r="C56" s="16" t="s">
        <v>1918</v>
      </c>
    </row>
    <row r="57" spans="3:3">
      <c r="C57" s="16" t="s">
        <v>1919</v>
      </c>
    </row>
    <row r="58" spans="3:3">
      <c r="C58" s="16" t="s">
        <v>1920</v>
      </c>
    </row>
    <row r="59" spans="3:3">
      <c r="C59" s="16" t="s">
        <v>1921</v>
      </c>
    </row>
    <row r="60" spans="3:3">
      <c r="C60" s="16" t="s">
        <v>1922</v>
      </c>
    </row>
    <row r="61" spans="3:3">
      <c r="C61" s="16" t="s">
        <v>1923</v>
      </c>
    </row>
    <row r="62" spans="3:3">
      <c r="C62" s="16" t="s">
        <v>1924</v>
      </c>
    </row>
    <row r="63" spans="3:3">
      <c r="C63" s="16" t="s">
        <v>1925</v>
      </c>
    </row>
    <row r="64" spans="3:3">
      <c r="C64" s="16" t="s">
        <v>1926</v>
      </c>
    </row>
    <row r="65" spans="3:3">
      <c r="C65" s="16" t="s">
        <v>1927</v>
      </c>
    </row>
    <row r="66" spans="3:3">
      <c r="C66" s="16" t="s">
        <v>1928</v>
      </c>
    </row>
    <row r="67" spans="3:3">
      <c r="C67" s="16" t="s">
        <v>1929</v>
      </c>
    </row>
    <row r="68" spans="3:3">
      <c r="C68" s="16" t="s">
        <v>1930</v>
      </c>
    </row>
    <row r="69" spans="3:3">
      <c r="C69" s="16" t="s">
        <v>1931</v>
      </c>
    </row>
    <row r="70" spans="3:3">
      <c r="C70" s="16" t="s">
        <v>1932</v>
      </c>
    </row>
    <row r="71" spans="3:3">
      <c r="C71" s="16" t="s">
        <v>1933</v>
      </c>
    </row>
    <row r="72" spans="3:3">
      <c r="C72" s="16" t="s">
        <v>1934</v>
      </c>
    </row>
    <row r="73" spans="3:3">
      <c r="C73" s="16" t="s">
        <v>1935</v>
      </c>
    </row>
    <row r="74" spans="3:3">
      <c r="C74" s="16" t="s">
        <v>1936</v>
      </c>
    </row>
    <row r="75" spans="3:3">
      <c r="C75" s="16" t="s">
        <v>1937</v>
      </c>
    </row>
    <row r="76" spans="3:3">
      <c r="C76" s="16" t="s">
        <v>1938</v>
      </c>
    </row>
    <row r="77" spans="3:3">
      <c r="C77" s="16" t="s">
        <v>1939</v>
      </c>
    </row>
    <row r="78" spans="3:3">
      <c r="C78" s="16" t="s">
        <v>1940</v>
      </c>
    </row>
    <row r="79" spans="3:3">
      <c r="C79" s="16" t="s">
        <v>1941</v>
      </c>
    </row>
    <row r="80" spans="3:3">
      <c r="C80" s="16" t="s">
        <v>1942</v>
      </c>
    </row>
    <row r="81" spans="3:3">
      <c r="C81" s="16" t="s">
        <v>1943</v>
      </c>
    </row>
    <row r="82" spans="3:3">
      <c r="C82" s="16" t="s">
        <v>1944</v>
      </c>
    </row>
    <row r="83" spans="3:3">
      <c r="C83" s="16" t="s">
        <v>1945</v>
      </c>
    </row>
    <row r="84" spans="3:3">
      <c r="C84" s="16" t="s">
        <v>1946</v>
      </c>
    </row>
    <row r="85" spans="3:3">
      <c r="C85" s="16" t="s">
        <v>1947</v>
      </c>
    </row>
    <row r="86" spans="3:3">
      <c r="C86" s="16" t="s">
        <v>1948</v>
      </c>
    </row>
    <row r="87" spans="3:3">
      <c r="C87" s="16" t="s">
        <v>1949</v>
      </c>
    </row>
    <row r="88" spans="3:3">
      <c r="C88" s="16" t="s">
        <v>1950</v>
      </c>
    </row>
    <row r="89" spans="3:3">
      <c r="C89" s="16" t="s">
        <v>1951</v>
      </c>
    </row>
    <row r="90" spans="3:3">
      <c r="C90" s="16" t="s">
        <v>1952</v>
      </c>
    </row>
    <row r="91" spans="3:3">
      <c r="C91" s="16" t="s">
        <v>1953</v>
      </c>
    </row>
    <row r="92" spans="3:3">
      <c r="C92" s="16" t="s">
        <v>1954</v>
      </c>
    </row>
    <row r="93" spans="3:3">
      <c r="C93" s="16" t="s">
        <v>1955</v>
      </c>
    </row>
    <row r="94" spans="3:3">
      <c r="C94" s="16" t="s">
        <v>1956</v>
      </c>
    </row>
    <row r="95" spans="3:3">
      <c r="C95" s="16" t="s">
        <v>1957</v>
      </c>
    </row>
    <row r="96" spans="3:3">
      <c r="C96" s="16" t="s">
        <v>1958</v>
      </c>
    </row>
    <row r="97" spans="2:3">
      <c r="C97" s="16" t="s">
        <v>1959</v>
      </c>
    </row>
    <row r="98" spans="2:3">
      <c r="C98" s="16" t="s">
        <v>1960</v>
      </c>
    </row>
    <row r="99" spans="2:3">
      <c r="C99" s="16" t="s">
        <v>1961</v>
      </c>
    </row>
    <row r="100" spans="2:3">
      <c r="C100" s="16" t="s">
        <v>1962</v>
      </c>
    </row>
    <row r="101" spans="2:3">
      <c r="C101" s="16" t="s">
        <v>1963</v>
      </c>
    </row>
    <row r="103" spans="2:3">
      <c r="B103" s="4" t="s">
        <v>1964</v>
      </c>
    </row>
    <row r="104" spans="2:3">
      <c r="C104" s="16" t="s">
        <v>1965</v>
      </c>
    </row>
    <row r="105" spans="2:3">
      <c r="C105" s="16" t="s">
        <v>1966</v>
      </c>
    </row>
    <row r="106" spans="2:3">
      <c r="C106" s="16" t="s">
        <v>1967</v>
      </c>
    </row>
    <row r="107" spans="2:3">
      <c r="C107" s="16" t="s">
        <v>1968</v>
      </c>
    </row>
    <row r="108" spans="2:3">
      <c r="C108" s="16" t="s">
        <v>1969</v>
      </c>
    </row>
    <row r="109" spans="2:3">
      <c r="C109" s="16" t="s">
        <v>1970</v>
      </c>
    </row>
    <row r="110" spans="2:3">
      <c r="C110" s="16" t="s">
        <v>1971</v>
      </c>
    </row>
    <row r="111" spans="2:3">
      <c r="C111" s="16" t="s">
        <v>1972</v>
      </c>
    </row>
    <row r="112" spans="2:3">
      <c r="C112" s="16" t="s">
        <v>1973</v>
      </c>
    </row>
    <row r="113" spans="3:3">
      <c r="C113" s="16" t="s">
        <v>1974</v>
      </c>
    </row>
    <row r="114" spans="3:3">
      <c r="C114" s="16" t="s">
        <v>1975</v>
      </c>
    </row>
    <row r="115" spans="3:3">
      <c r="C115" s="16" t="s">
        <v>1976</v>
      </c>
    </row>
    <row r="116" spans="3:3">
      <c r="C116" s="16" t="s">
        <v>1977</v>
      </c>
    </row>
    <row r="117" spans="3:3">
      <c r="C117" s="16" t="s">
        <v>1978</v>
      </c>
    </row>
    <row r="118" spans="3:3">
      <c r="C118" s="16" t="s">
        <v>1979</v>
      </c>
    </row>
    <row r="119" spans="3:3">
      <c r="C119" s="16" t="s">
        <v>1980</v>
      </c>
    </row>
    <row r="120" spans="3:3">
      <c r="C120" s="16" t="s">
        <v>1981</v>
      </c>
    </row>
    <row r="121" spans="3:3">
      <c r="C121" s="16" t="s">
        <v>1982</v>
      </c>
    </row>
    <row r="122" spans="3:3">
      <c r="C122" s="16" t="s">
        <v>1983</v>
      </c>
    </row>
    <row r="123" spans="3:3">
      <c r="C123" s="16" t="s">
        <v>1984</v>
      </c>
    </row>
    <row r="124" spans="3:3">
      <c r="C124" s="16" t="s">
        <v>1985</v>
      </c>
    </row>
    <row r="125" spans="3:3">
      <c r="C125" s="16" t="s">
        <v>1986</v>
      </c>
    </row>
    <row r="126" spans="3:3">
      <c r="C126" s="16" t="s">
        <v>1987</v>
      </c>
    </row>
    <row r="127" spans="3:3">
      <c r="C127" s="16" t="s">
        <v>1988</v>
      </c>
    </row>
    <row r="128" spans="3:3">
      <c r="C128" s="16" t="s">
        <v>1989</v>
      </c>
    </row>
    <row r="129" spans="3:3">
      <c r="C129" s="16" t="s">
        <v>1990</v>
      </c>
    </row>
    <row r="130" spans="3:3">
      <c r="C130" s="16" t="s">
        <v>1991</v>
      </c>
    </row>
    <row r="131" spans="3:3">
      <c r="C131" s="16">
        <f> ~$40 000 – $120 000 в год НА ВЕСЬ СОВЕТ (3-5 человек) = $800 – $3 300 на человека в месяц в ОАЭ.</f>
        <v>0</v>
      </c>
    </row>
    <row r="132" spans="3:3">
      <c r="C132" s="16" t="s">
        <v>1992</v>
      </c>
    </row>
    <row r="133" spans="3:3">
      <c r="C133" s="16" t="s">
        <v>1993</v>
      </c>
    </row>
    <row r="134" spans="3:3">
      <c r="C134" s="16" t="s">
        <v>1994</v>
      </c>
    </row>
    <row r="135" spans="3:3">
      <c r="C135" s="16" t="s">
        <v>1995</v>
      </c>
    </row>
    <row r="136" spans="3:3">
      <c r="C136" s="16" t="s">
        <v>1996</v>
      </c>
    </row>
    <row r="137" spans="3:3">
      <c r="C137" s="16" t="s">
        <v>1997</v>
      </c>
    </row>
    <row r="138" spans="3:3">
      <c r="C138" s="16" t="s">
        <v>1998</v>
      </c>
    </row>
    <row r="139" spans="3:3">
      <c r="C139" s="16" t="s">
        <v>1999</v>
      </c>
    </row>
    <row r="140" spans="3:3">
      <c r="C140" s="16" t="s">
        <v>2000</v>
      </c>
    </row>
    <row r="141" spans="3:3">
      <c r="C141" s="16" t="s">
        <v>2001</v>
      </c>
    </row>
    <row r="142" spans="3:3">
      <c r="C142" s="16" t="s">
        <v>2002</v>
      </c>
    </row>
    <row r="143" spans="3:3">
      <c r="C143" s="16" t="s">
        <v>2003</v>
      </c>
    </row>
    <row r="144" spans="3:3">
      <c r="C144" s="16" t="s">
        <v>2004</v>
      </c>
    </row>
    <row r="145" spans="3:3">
      <c r="C145" s="16" t="s">
        <v>2005</v>
      </c>
    </row>
    <row r="146" spans="3:3">
      <c r="C146" s="16" t="s">
        <v>2006</v>
      </c>
    </row>
    <row r="147" spans="3:3">
      <c r="C147" s="16" t="s">
        <v>2007</v>
      </c>
    </row>
    <row r="148" spans="3:3">
      <c r="C148" s="16" t="s">
        <v>2008</v>
      </c>
    </row>
    <row r="149" spans="3:3">
      <c r="C149" s="16" t="s">
        <v>2009</v>
      </c>
    </row>
    <row r="150" spans="3:3">
      <c r="C150" s="16" t="s">
        <v>2010</v>
      </c>
    </row>
    <row r="151" spans="3:3">
      <c r="C151" s="16" t="s">
        <v>2011</v>
      </c>
    </row>
    <row r="152" spans="3:3">
      <c r="C152" s="16" t="s">
        <v>2012</v>
      </c>
    </row>
    <row r="153" spans="3:3">
      <c r="C153" s="16" t="s">
        <v>2013</v>
      </c>
    </row>
    <row r="154" spans="3:3">
      <c r="C154" s="16" t="s">
        <v>2014</v>
      </c>
    </row>
    <row r="155" spans="3:3">
      <c r="C155" s="16" t="s">
        <v>2015</v>
      </c>
    </row>
    <row r="156" spans="3:3">
      <c r="C156" s="16" t="s">
        <v>2016</v>
      </c>
    </row>
    <row r="157" spans="3:3">
      <c r="C157" s="16" t="s">
        <v>2017</v>
      </c>
    </row>
    <row r="158" spans="3:3">
      <c r="C158" s="16" t="s">
        <v>2018</v>
      </c>
    </row>
    <row r="159" spans="3:3">
      <c r="C159" s="16" t="s">
        <v>2019</v>
      </c>
    </row>
    <row r="160" spans="3:3">
      <c r="C160" s="16" t="s">
        <v>2020</v>
      </c>
    </row>
    <row r="161" spans="3:3">
      <c r="C161" s="16" t="s">
        <v>2021</v>
      </c>
    </row>
    <row r="162" spans="3:3">
      <c r="C162" s="16" t="s">
        <v>2022</v>
      </c>
    </row>
    <row r="163" spans="3:3">
      <c r="C163" s="16" t="s">
        <v>2023</v>
      </c>
    </row>
    <row r="164" spans="3:3">
      <c r="C164" s="16" t="s">
        <v>2024</v>
      </c>
    </row>
    <row r="165" spans="3:3">
      <c r="C165" s="16" t="s">
        <v>2025</v>
      </c>
    </row>
    <row r="166" spans="3:3">
      <c r="C166" s="16" t="s">
        <v>2026</v>
      </c>
    </row>
    <row r="167" spans="3:3">
      <c r="C167" s="16" t="s">
        <v>2027</v>
      </c>
    </row>
    <row r="168" spans="3:3">
      <c r="C168" s="16" t="s">
        <v>2028</v>
      </c>
    </row>
    <row r="169" spans="3:3">
      <c r="C169" s="16" t="s">
        <v>2029</v>
      </c>
    </row>
    <row r="170" spans="3:3">
      <c r="C170" s="16" t="s">
        <v>2030</v>
      </c>
    </row>
    <row r="171" spans="3:3">
      <c r="C171" s="16" t="s">
        <v>2031</v>
      </c>
    </row>
    <row r="172" spans="3:3">
      <c r="C172" s="16" t="s">
        <v>2032</v>
      </c>
    </row>
    <row r="173" spans="3:3">
      <c r="C173" s="16" t="s">
        <v>2033</v>
      </c>
    </row>
    <row r="174" spans="3:3">
      <c r="C174" s="16" t="s">
        <v>2034</v>
      </c>
    </row>
    <row r="175" spans="3:3">
      <c r="C175" s="16" t="s">
        <v>2035</v>
      </c>
    </row>
    <row r="176" spans="3:3">
      <c r="C176" s="16" t="s">
        <v>2036</v>
      </c>
    </row>
    <row r="177" spans="3:3">
      <c r="C177" s="16" t="s">
        <v>2037</v>
      </c>
    </row>
    <row r="178" spans="3:3">
      <c r="C178" s="16" t="s">
        <v>2038</v>
      </c>
    </row>
    <row r="179" spans="3:3">
      <c r="C179" s="16" t="s">
        <v>2039</v>
      </c>
    </row>
    <row r="180" spans="3:3">
      <c r="C180" s="16" t="s">
        <v>2040</v>
      </c>
    </row>
    <row r="181" spans="3:3">
      <c r="C181" s="16" t="s">
        <v>2041</v>
      </c>
    </row>
    <row r="182" spans="3:3">
      <c r="C182" s="16" t="s">
        <v>2042</v>
      </c>
    </row>
    <row r="183" spans="3:3">
      <c r="C183" s="16" t="s">
        <v>2043</v>
      </c>
    </row>
    <row r="184" spans="3:3">
      <c r="C184" s="16" t="s">
        <v>2044</v>
      </c>
    </row>
    <row r="185" spans="3:3">
      <c r="C185" s="16" t="s">
        <v>2045</v>
      </c>
    </row>
    <row r="186" spans="3:3">
      <c r="C186" s="16" t="s">
        <v>2046</v>
      </c>
    </row>
    <row r="187" spans="3:3">
      <c r="C187" s="16" t="s">
        <v>2047</v>
      </c>
    </row>
    <row r="188" spans="3:3">
      <c r="C188" s="16" t="s">
        <v>2048</v>
      </c>
    </row>
    <row r="189" spans="3:3">
      <c r="C189" s="16" t="s">
        <v>2049</v>
      </c>
    </row>
    <row r="190" spans="3:3">
      <c r="C190" s="16" t="s">
        <v>2050</v>
      </c>
    </row>
    <row r="191" spans="3:3">
      <c r="C191" s="16" t="s">
        <v>2051</v>
      </c>
    </row>
    <row r="192" spans="3:3">
      <c r="C192" s="16" t="s">
        <v>2052</v>
      </c>
    </row>
    <row r="193" spans="3:3">
      <c r="C193" s="16" t="s">
        <v>2053</v>
      </c>
    </row>
    <row r="194" spans="3:3">
      <c r="C194" s="16" t="s">
        <v>2054</v>
      </c>
    </row>
    <row r="195" spans="3:3">
      <c r="C195" s="16" t="s">
        <v>2055</v>
      </c>
    </row>
    <row r="196" spans="3:3">
      <c r="C196" s="16" t="s">
        <v>2056</v>
      </c>
    </row>
    <row r="197" spans="3:3">
      <c r="C197" s="16" t="s">
        <v>2057</v>
      </c>
    </row>
    <row r="198" spans="3:3">
      <c r="C198" s="16" t="s">
        <v>2058</v>
      </c>
    </row>
    <row r="199" spans="3:3">
      <c r="C199" s="16" t="s">
        <v>2059</v>
      </c>
    </row>
    <row r="200" spans="3:3">
      <c r="C200" s="16" t="s">
        <v>2060</v>
      </c>
    </row>
    <row r="201" spans="3:3">
      <c r="C201" s="16" t="s">
        <v>2061</v>
      </c>
    </row>
    <row r="202" spans="3:3">
      <c r="C202" s="16" t="s">
        <v>2062</v>
      </c>
    </row>
    <row r="203" spans="3:3">
      <c r="C203" s="16" t="s">
        <v>2063</v>
      </c>
    </row>
    <row r="204" spans="3:3">
      <c r="C204" s="16" t="s">
        <v>2064</v>
      </c>
    </row>
    <row r="205" spans="3:3">
      <c r="C205" s="16" t="s">
        <v>2065</v>
      </c>
    </row>
    <row r="206" spans="3:3">
      <c r="C206" s="16" t="s">
        <v>2066</v>
      </c>
    </row>
    <row r="207" spans="3:3">
      <c r="C207" s="16" t="s">
        <v>2067</v>
      </c>
    </row>
    <row r="208" spans="3:3">
      <c r="C208" s="16" t="s">
        <v>2068</v>
      </c>
    </row>
    <row r="209" spans="3:3">
      <c r="C209" s="16" t="s">
        <v>2069</v>
      </c>
    </row>
    <row r="210" spans="3:3">
      <c r="C210" s="16" t="s">
        <v>2070</v>
      </c>
    </row>
    <row r="211" spans="3:3">
      <c r="C211" s="16" t="s">
        <v>2071</v>
      </c>
    </row>
    <row r="212" spans="3:3">
      <c r="C212" s="16" t="s">
        <v>2072</v>
      </c>
    </row>
    <row r="213" spans="3:3">
      <c r="C213" s="16" t="s">
        <v>2073</v>
      </c>
    </row>
    <row r="214" spans="3:3">
      <c r="C214" s="16" t="s">
        <v>2074</v>
      </c>
    </row>
    <row r="215" spans="3:3">
      <c r="C215" s="16" t="s">
        <v>2075</v>
      </c>
    </row>
    <row r="216" spans="3:3">
      <c r="C216" s="16" t="s">
        <v>2076</v>
      </c>
    </row>
    <row r="217" spans="3:3">
      <c r="C217" s="16" t="s">
        <v>2077</v>
      </c>
    </row>
    <row r="218" spans="3:3">
      <c r="C218" s="16" t="s">
        <v>2078</v>
      </c>
    </row>
    <row r="219" spans="3:3">
      <c r="C219" s="16" t="s">
        <v>2079</v>
      </c>
    </row>
    <row r="220" spans="3:3">
      <c r="C220" s="16" t="s">
        <v>2080</v>
      </c>
    </row>
    <row r="221" spans="3:3">
      <c r="C221" s="16" t="s">
        <v>2081</v>
      </c>
    </row>
    <row r="222" spans="3:3">
      <c r="C222" s="16" t="s">
        <v>2082</v>
      </c>
    </row>
    <row r="223" spans="3:3">
      <c r="C223" s="16" t="s">
        <v>2083</v>
      </c>
    </row>
    <row r="224" spans="3:3">
      <c r="C224" s="16" t="s">
        <v>2084</v>
      </c>
    </row>
    <row r="225" spans="3:3">
      <c r="C225" s="16" t="s">
        <v>2085</v>
      </c>
    </row>
    <row r="226" spans="3:3">
      <c r="C226" s="16" t="s">
        <v>2086</v>
      </c>
    </row>
    <row r="227" spans="3:3">
      <c r="C227" s="16" t="s">
        <v>2087</v>
      </c>
    </row>
    <row r="228" spans="3:3">
      <c r="C228" s="16" t="s">
        <v>2088</v>
      </c>
    </row>
    <row r="229" spans="3:3">
      <c r="C229" s="16" t="s">
        <v>2089</v>
      </c>
    </row>
    <row r="230" spans="3:3">
      <c r="C230" s="16" t="s">
        <v>2090</v>
      </c>
    </row>
    <row r="231" spans="3:3">
      <c r="C231" s="16" t="s">
        <v>2091</v>
      </c>
    </row>
    <row r="232" spans="3:3">
      <c r="C232" s="16" t="s">
        <v>2092</v>
      </c>
    </row>
    <row r="233" spans="3:3">
      <c r="C233" s="16" t="s">
        <v>2093</v>
      </c>
    </row>
    <row r="234" spans="3:3">
      <c r="C234" s="16" t="s">
        <v>2094</v>
      </c>
    </row>
    <row r="235" spans="3:3">
      <c r="C235" s="16" t="s">
        <v>2095</v>
      </c>
    </row>
    <row r="236" spans="3:3">
      <c r="C236" s="16" t="s">
        <v>2096</v>
      </c>
    </row>
    <row r="237" spans="3:3">
      <c r="C237" s="16" t="s">
        <v>2097</v>
      </c>
    </row>
    <row r="238" spans="3:3">
      <c r="C238" s="16" t="s">
        <v>2098</v>
      </c>
    </row>
    <row r="239" spans="3:3">
      <c r="C239" s="16" t="s">
        <v>2099</v>
      </c>
    </row>
    <row r="240" spans="3:3">
      <c r="C240" s="16" t="s">
        <v>2100</v>
      </c>
    </row>
    <row r="241" spans="3:3">
      <c r="C241" s="16" t="s">
        <v>2101</v>
      </c>
    </row>
    <row r="242" spans="3:3">
      <c r="C242" s="16" t="s">
        <v>2102</v>
      </c>
    </row>
    <row r="243" spans="3:3">
      <c r="C243" s="16" t="s">
        <v>2103</v>
      </c>
    </row>
    <row r="244" spans="3:3">
      <c r="C244" s="16" t="s">
        <v>2104</v>
      </c>
    </row>
    <row r="245" spans="3:3">
      <c r="C245" s="16" t="s">
        <v>2105</v>
      </c>
    </row>
    <row r="246" spans="3:3">
      <c r="C246" s="16" t="s">
        <v>2106</v>
      </c>
    </row>
    <row r="247" spans="3:3">
      <c r="C247" s="16" t="s">
        <v>2107</v>
      </c>
    </row>
    <row r="248" spans="3:3">
      <c r="C248" s="16" t="s">
        <v>2108</v>
      </c>
    </row>
    <row r="249" spans="3:3">
      <c r="C249" s="16" t="s">
        <v>2109</v>
      </c>
    </row>
    <row r="250" spans="3:3">
      <c r="C250" s="16" t="s">
        <v>2110</v>
      </c>
    </row>
    <row r="251" spans="3:3">
      <c r="C251" s="16" t="s">
        <v>2111</v>
      </c>
    </row>
    <row r="252" spans="3:3">
      <c r="C252" s="16" t="s">
        <v>2112</v>
      </c>
    </row>
    <row r="253" spans="3:3">
      <c r="C253" s="16" t="s">
        <v>2113</v>
      </c>
    </row>
    <row r="254" spans="3:3">
      <c r="C254" s="16" t="s">
        <v>2114</v>
      </c>
    </row>
    <row r="255" spans="3:3">
      <c r="C255" s="16" t="s">
        <v>2115</v>
      </c>
    </row>
    <row r="256" spans="3:3">
      <c r="C256" s="16" t="s">
        <v>2116</v>
      </c>
    </row>
    <row r="257" spans="3:3">
      <c r="C257" s="16" t="s">
        <v>2117</v>
      </c>
    </row>
    <row r="258" spans="3:3">
      <c r="C258" s="16" t="s">
        <v>2118</v>
      </c>
    </row>
    <row r="259" spans="3:3">
      <c r="C259" s="16" t="s">
        <v>2119</v>
      </c>
    </row>
    <row r="260" spans="3:3">
      <c r="C260" s="16" t="s">
        <v>2120</v>
      </c>
    </row>
    <row r="261" spans="3:3">
      <c r="C261" s="16" t="s">
        <v>2121</v>
      </c>
    </row>
    <row r="262" spans="3:3">
      <c r="C262" s="16" t="s">
        <v>2122</v>
      </c>
    </row>
    <row r="263" spans="3:3">
      <c r="C263" s="16" t="s">
        <v>2123</v>
      </c>
    </row>
    <row r="264" spans="3:3">
      <c r="C264" s="16" t="s">
        <v>2124</v>
      </c>
    </row>
    <row r="265" spans="3:3">
      <c r="C265" s="16" t="s">
        <v>2125</v>
      </c>
    </row>
    <row r="266" spans="3:3">
      <c r="C266" s="16" t="s">
        <v>2126</v>
      </c>
    </row>
    <row r="267" spans="3:3">
      <c r="C267" s="16" t="s">
        <v>2127</v>
      </c>
    </row>
    <row r="268" spans="3:3">
      <c r="C268" s="16" t="s">
        <v>2128</v>
      </c>
    </row>
    <row r="269" spans="3:3">
      <c r="C269" s="16" t="s">
        <v>2129</v>
      </c>
    </row>
    <row r="270" spans="3:3">
      <c r="C270" s="16" t="s">
        <v>2130</v>
      </c>
    </row>
    <row r="271" spans="3:3">
      <c r="C271" s="16" t="s">
        <v>2131</v>
      </c>
    </row>
    <row r="272" spans="3:3">
      <c r="C272" s="16" t="s">
        <v>2132</v>
      </c>
    </row>
    <row r="273" spans="3:3">
      <c r="C273" s="16" t="s">
        <v>2133</v>
      </c>
    </row>
    <row r="274" spans="3:3">
      <c r="C274" s="16" t="s">
        <v>2134</v>
      </c>
    </row>
    <row r="275" spans="3:3">
      <c r="C275" s="16" t="s">
        <v>2135</v>
      </c>
    </row>
    <row r="276" spans="3:3">
      <c r="C276" s="16" t="s">
        <v>2136</v>
      </c>
    </row>
    <row r="277" spans="3:3">
      <c r="C277" s="16" t="s">
        <v>2137</v>
      </c>
    </row>
    <row r="278" spans="3:3">
      <c r="C278" s="16" t="s">
        <v>2138</v>
      </c>
    </row>
    <row r="279" spans="3:3">
      <c r="C279" s="16" t="s">
        <v>2139</v>
      </c>
    </row>
    <row r="280" spans="3:3">
      <c r="C280" s="16" t="s">
        <v>2140</v>
      </c>
    </row>
    <row r="281" spans="3:3">
      <c r="C281" s="16" t="s">
        <v>2141</v>
      </c>
    </row>
    <row r="282" spans="3:3">
      <c r="C282" s="16" t="s">
        <v>2142</v>
      </c>
    </row>
    <row r="283" spans="3:3">
      <c r="C283" s="16" t="s">
        <v>2143</v>
      </c>
    </row>
    <row r="284" spans="3:3">
      <c r="C284" s="16" t="s">
        <v>2144</v>
      </c>
    </row>
    <row r="285" spans="3:3">
      <c r="C285" s="16" t="s">
        <v>2145</v>
      </c>
    </row>
    <row r="286" spans="3:3">
      <c r="C286" s="16" t="s">
        <v>2146</v>
      </c>
    </row>
    <row r="287" spans="3:3">
      <c r="C287" s="16" t="s">
        <v>2147</v>
      </c>
    </row>
    <row r="288" spans="3:3">
      <c r="C288" s="16" t="s">
        <v>2148</v>
      </c>
    </row>
    <row r="289" spans="3:3">
      <c r="C289" s="16" t="s">
        <v>2149</v>
      </c>
    </row>
    <row r="290" spans="3:3">
      <c r="C290" s="16" t="s">
        <v>2150</v>
      </c>
    </row>
    <row r="291" spans="3:3">
      <c r="C291" s="16" t="s">
        <v>2151</v>
      </c>
    </row>
    <row r="292" spans="3:3">
      <c r="C292" s="16" t="s">
        <v>2152</v>
      </c>
    </row>
    <row r="293" spans="3:3">
      <c r="C293" s="16" t="s">
        <v>2153</v>
      </c>
    </row>
    <row r="294" spans="3:3">
      <c r="C294" s="16" t="s">
        <v>2154</v>
      </c>
    </row>
    <row r="295" spans="3:3">
      <c r="C295" s="16" t="s">
        <v>2155</v>
      </c>
    </row>
    <row r="296" spans="3:3">
      <c r="C296" s="16" t="s">
        <v>2156</v>
      </c>
    </row>
    <row r="297" spans="3:3">
      <c r="C297" s="16" t="s">
        <v>2157</v>
      </c>
    </row>
    <row r="298" spans="3:3">
      <c r="C298" s="16" t="s">
        <v>2158</v>
      </c>
    </row>
    <row r="299" spans="3:3">
      <c r="C299" s="16" t="s">
        <v>2159</v>
      </c>
    </row>
    <row r="300" spans="3:3">
      <c r="C300" s="16" t="s">
        <v>2160</v>
      </c>
    </row>
    <row r="301" spans="3:3">
      <c r="C301" s="16" t="s">
        <v>2161</v>
      </c>
    </row>
    <row r="302" spans="3:3">
      <c r="C302" s="16" t="s">
        <v>2162</v>
      </c>
    </row>
    <row r="303" spans="3:3">
      <c r="C303" s="16" t="s">
        <v>2163</v>
      </c>
    </row>
    <row r="304" spans="3:3">
      <c r="C304" s="16" t="s">
        <v>2164</v>
      </c>
    </row>
    <row r="305" spans="3:3">
      <c r="C305" s="16" t="s">
        <v>2165</v>
      </c>
    </row>
    <row r="306" spans="3:3">
      <c r="C306" s="16" t="s">
        <v>2166</v>
      </c>
    </row>
    <row r="307" spans="3:3">
      <c r="C307" s="16" t="s">
        <v>2167</v>
      </c>
    </row>
    <row r="308" spans="3:3">
      <c r="C308" s="16" t="s">
        <v>2168</v>
      </c>
    </row>
    <row r="309" spans="3:3">
      <c r="C309" s="16" t="s">
        <v>2169</v>
      </c>
    </row>
    <row r="310" spans="3:3">
      <c r="C310" s="16" t="s">
        <v>2170</v>
      </c>
    </row>
    <row r="311" spans="3:3">
      <c r="C311" s="16" t="s">
        <v>2171</v>
      </c>
    </row>
    <row r="312" spans="3:3">
      <c r="C312" s="16" t="s">
        <v>2172</v>
      </c>
    </row>
    <row r="313" spans="3:3">
      <c r="C313" s="16" t="s">
        <v>2173</v>
      </c>
    </row>
    <row r="314" spans="3:3">
      <c r="C314" s="16" t="s">
        <v>2008</v>
      </c>
    </row>
    <row r="315" spans="3:3">
      <c r="C315" s="16" t="s">
        <v>2174</v>
      </c>
    </row>
    <row r="316" spans="3:3">
      <c r="C316" s="16" t="s">
        <v>2175</v>
      </c>
    </row>
    <row r="317" spans="3:3">
      <c r="C317" s="16" t="s">
        <v>2176</v>
      </c>
    </row>
    <row r="318" spans="3:3">
      <c r="C318" s="16" t="s">
        <v>2177</v>
      </c>
    </row>
    <row r="319" spans="3:3">
      <c r="C319" s="16" t="s">
        <v>2178</v>
      </c>
    </row>
    <row r="320" spans="3:3">
      <c r="C320" s="16" t="s">
        <v>2179</v>
      </c>
    </row>
    <row r="321" spans="3:3">
      <c r="C321" s="16" t="s">
        <v>2180</v>
      </c>
    </row>
    <row r="322" spans="3:3">
      <c r="C322" s="16" t="s">
        <v>2181</v>
      </c>
    </row>
    <row r="323" spans="3:3">
      <c r="C323" s="16" t="s">
        <v>2182</v>
      </c>
    </row>
    <row r="324" spans="3:3">
      <c r="C324" s="16" t="s">
        <v>2183</v>
      </c>
    </row>
    <row r="325" spans="3:3">
      <c r="C325" s="16" t="s">
        <v>2184</v>
      </c>
    </row>
    <row r="326" spans="3:3">
      <c r="C326" s="16" t="s">
        <v>2185</v>
      </c>
    </row>
    <row r="327" spans="3:3">
      <c r="C327" s="16" t="s">
        <v>2186</v>
      </c>
    </row>
    <row r="328" spans="3:3">
      <c r="C328" s="16" t="s">
        <v>2187</v>
      </c>
    </row>
    <row r="329" spans="3:3">
      <c r="C329" s="16" t="s">
        <v>2188</v>
      </c>
    </row>
    <row r="330" spans="3:3">
      <c r="C330" s="16" t="s">
        <v>2189</v>
      </c>
    </row>
    <row r="331" spans="3:3">
      <c r="C331" s="16" t="s">
        <v>2190</v>
      </c>
    </row>
    <row r="332" spans="3:3">
      <c r="C332" s="16" t="s">
        <v>2191</v>
      </c>
    </row>
    <row r="333" spans="3:3">
      <c r="C333" s="16" t="s">
        <v>2192</v>
      </c>
    </row>
    <row r="334" spans="3:3">
      <c r="C334" s="16" t="s">
        <v>2193</v>
      </c>
    </row>
    <row r="335" spans="3:3">
      <c r="C335" s="16" t="s">
        <v>2194</v>
      </c>
    </row>
    <row r="336" spans="3:3">
      <c r="C336" s="16" t="s">
        <v>2195</v>
      </c>
    </row>
    <row r="337" spans="3:3">
      <c r="C337" s="16" t="s">
        <v>2196</v>
      </c>
    </row>
    <row r="338" spans="3:3">
      <c r="C338" s="16" t="s">
        <v>2197</v>
      </c>
    </row>
    <row r="339" spans="3:3">
      <c r="C339" s="16" t="s">
        <v>2198</v>
      </c>
    </row>
    <row r="340" spans="3:3">
      <c r="C340" s="16" t="s">
        <v>2199</v>
      </c>
    </row>
    <row r="341" spans="3:3">
      <c r="C341" s="16" t="s">
        <v>2200</v>
      </c>
    </row>
    <row r="342" spans="3:3">
      <c r="C342" s="16" t="s">
        <v>2201</v>
      </c>
    </row>
    <row r="343" spans="3:3">
      <c r="C343" s="16" t="s">
        <v>2202</v>
      </c>
    </row>
    <row r="344" spans="3:3">
      <c r="C344" s="16" t="s">
        <v>2203</v>
      </c>
    </row>
    <row r="345" spans="3:3">
      <c r="C345" s="16" t="s">
        <v>2204</v>
      </c>
    </row>
    <row r="346" spans="3:3">
      <c r="C346" s="16" t="s">
        <v>2205</v>
      </c>
    </row>
    <row r="347" spans="3:3">
      <c r="C347" s="16" t="s">
        <v>2206</v>
      </c>
    </row>
    <row r="348" spans="3:3">
      <c r="C348" s="16" t="s">
        <v>2207</v>
      </c>
    </row>
    <row r="349" spans="3:3">
      <c r="C349" s="16" t="s">
        <v>2208</v>
      </c>
    </row>
    <row r="350" spans="3:3">
      <c r="C350" s="16" t="s">
        <v>2209</v>
      </c>
    </row>
    <row r="351" spans="3:3">
      <c r="C351" s="16" t="s">
        <v>2210</v>
      </c>
    </row>
    <row r="352" spans="3:3">
      <c r="C352" s="16" t="s">
        <v>2211</v>
      </c>
    </row>
    <row r="353" spans="3:3">
      <c r="C353" s="16" t="s">
        <v>2008</v>
      </c>
    </row>
    <row r="354" spans="3:3">
      <c r="C354" s="16" t="s">
        <v>2212</v>
      </c>
    </row>
    <row r="355" spans="3:3">
      <c r="C355" s="16" t="s">
        <v>2213</v>
      </c>
    </row>
    <row r="356" spans="3:3">
      <c r="C356" s="16" t="s">
        <v>2214</v>
      </c>
    </row>
    <row r="357" spans="3:3">
      <c r="C357" s="16" t="s">
        <v>2215</v>
      </c>
    </row>
    <row r="358" spans="3:3">
      <c r="C358" s="16" t="s">
        <v>2216</v>
      </c>
    </row>
    <row r="359" spans="3:3">
      <c r="C359" s="16" t="s">
        <v>2217</v>
      </c>
    </row>
    <row r="360" spans="3:3">
      <c r="C360" s="16" t="s">
        <v>2218</v>
      </c>
    </row>
    <row r="361" spans="3:3">
      <c r="C361" s="16" t="s">
        <v>2219</v>
      </c>
    </row>
    <row r="362" spans="3:3">
      <c r="C362" s="16" t="s">
        <v>2220</v>
      </c>
    </row>
    <row r="363" spans="3:3">
      <c r="C363" s="16" t="s">
        <v>2221</v>
      </c>
    </row>
    <row r="364" spans="3:3">
      <c r="C364" s="16" t="s">
        <v>2222</v>
      </c>
    </row>
    <row r="365" spans="3:3">
      <c r="C365" s="16" t="s">
        <v>2223</v>
      </c>
    </row>
    <row r="366" spans="3:3">
      <c r="C366" s="16" t="s">
        <v>2224</v>
      </c>
    </row>
    <row r="367" spans="3:3">
      <c r="C367" s="16" t="s">
        <v>2225</v>
      </c>
    </row>
    <row r="368" spans="3:3">
      <c r="C368" s="16" t="s">
        <v>2226</v>
      </c>
    </row>
    <row r="369" spans="3:3">
      <c r="C369" s="16" t="s">
        <v>2227</v>
      </c>
    </row>
    <row r="370" spans="3:3">
      <c r="C370" s="16" t="s">
        <v>2228</v>
      </c>
    </row>
    <row r="371" spans="3:3">
      <c r="C371" s="16" t="s">
        <v>2229</v>
      </c>
    </row>
    <row r="372" spans="3:3">
      <c r="C372" s="16" t="s">
        <v>2230</v>
      </c>
    </row>
    <row r="373" spans="3:3">
      <c r="C373" s="16" t="s">
        <v>2231</v>
      </c>
    </row>
    <row r="374" spans="3:3">
      <c r="C374" s="16" t="s">
        <v>2232</v>
      </c>
    </row>
    <row r="375" spans="3:3">
      <c r="C375" s="16" t="s">
        <v>2233</v>
      </c>
    </row>
    <row r="376" spans="3:3">
      <c r="C376" s="16" t="s">
        <v>2234</v>
      </c>
    </row>
    <row r="377" spans="3:3">
      <c r="C377" s="16" t="s">
        <v>2235</v>
      </c>
    </row>
    <row r="378" spans="3:3">
      <c r="C378" s="16" t="s">
        <v>2236</v>
      </c>
    </row>
    <row r="379" spans="3:3">
      <c r="C379" s="16" t="s">
        <v>2237</v>
      </c>
    </row>
    <row r="380" spans="3:3">
      <c r="C380" s="16" t="s">
        <v>2238</v>
      </c>
    </row>
    <row r="381" spans="3:3">
      <c r="C381" s="16" t="s">
        <v>2239</v>
      </c>
    </row>
    <row r="382" spans="3:3">
      <c r="C382" s="16" t="s">
        <v>2240</v>
      </c>
    </row>
    <row r="383" spans="3:3">
      <c r="C383" s="16" t="s">
        <v>2241</v>
      </c>
    </row>
    <row r="384" spans="3:3">
      <c r="C384" s="16" t="s">
        <v>2242</v>
      </c>
    </row>
    <row r="385" spans="3:3">
      <c r="C385" s="16" t="s">
        <v>2243</v>
      </c>
    </row>
    <row r="386" spans="3:3">
      <c r="C386" s="16" t="s">
        <v>2244</v>
      </c>
    </row>
    <row r="387" spans="3:3">
      <c r="C387" s="16" t="s">
        <v>2245</v>
      </c>
    </row>
    <row r="388" spans="3:3">
      <c r="C388" s="16" t="s">
        <v>2246</v>
      </c>
    </row>
    <row r="389" spans="3:3">
      <c r="C389" s="16" t="s">
        <v>2008</v>
      </c>
    </row>
    <row r="390" spans="3:3">
      <c r="C390" s="16" t="s">
        <v>2247</v>
      </c>
    </row>
    <row r="391" spans="3:3">
      <c r="C391" s="16" t="s">
        <v>2248</v>
      </c>
    </row>
    <row r="392" spans="3:3">
      <c r="C392" s="16" t="s">
        <v>2249</v>
      </c>
    </row>
    <row r="393" spans="3:3">
      <c r="C393" s="16" t="s">
        <v>2250</v>
      </c>
    </row>
    <row r="394" spans="3:3">
      <c r="C394" s="16" t="s">
        <v>2251</v>
      </c>
    </row>
    <row r="395" spans="3:3">
      <c r="C395" s="16" t="s">
        <v>2252</v>
      </c>
    </row>
    <row r="396" spans="3:3">
      <c r="C396" s="16" t="s">
        <v>2253</v>
      </c>
    </row>
    <row r="397" spans="3:3">
      <c r="C397" s="16" t="s">
        <v>2254</v>
      </c>
    </row>
    <row r="398" spans="3:3">
      <c r="C398" s="16" t="s">
        <v>2255</v>
      </c>
    </row>
    <row r="399" spans="3:3">
      <c r="C399" s="16" t="s">
        <v>2256</v>
      </c>
    </row>
    <row r="400" spans="3:3">
      <c r="C400" s="16" t="s">
        <v>2257</v>
      </c>
    </row>
    <row r="401" spans="2:3">
      <c r="C401" s="16" t="s">
        <v>2258</v>
      </c>
    </row>
    <row r="402" spans="2:3">
      <c r="C402" s="16" t="s">
        <v>2259</v>
      </c>
    </row>
    <row r="403" spans="2:3">
      <c r="C403" s="16" t="s">
        <v>2260</v>
      </c>
    </row>
    <row r="405" spans="2:3">
      <c r="B405" s="4" t="s">
        <v>2261</v>
      </c>
    </row>
    <row r="406" spans="2:3">
      <c r="C406" s="16" t="s">
        <v>2262</v>
      </c>
    </row>
    <row r="407" spans="2:3">
      <c r="C407" s="16" t="s">
        <v>2263</v>
      </c>
    </row>
    <row r="408" spans="2:3">
      <c r="C408" s="16" t="s">
        <v>2264</v>
      </c>
    </row>
    <row r="409" spans="2:3">
      <c r="C409" s="16" t="s">
        <v>2265</v>
      </c>
    </row>
    <row r="410" spans="2:3">
      <c r="C410" s="16" t="s">
        <v>2008</v>
      </c>
    </row>
    <row r="411" spans="2:3">
      <c r="C411" s="16" t="s">
        <v>2266</v>
      </c>
    </row>
    <row r="412" spans="2:3">
      <c r="C412" s="16" t="s">
        <v>2267</v>
      </c>
    </row>
    <row r="413" spans="2:3">
      <c r="C413" s="16" t="s">
        <v>2268</v>
      </c>
    </row>
    <row r="414" spans="2:3">
      <c r="C414" s="16" t="s">
        <v>2269</v>
      </c>
    </row>
    <row r="415" spans="2:3">
      <c r="C415" s="16" t="s">
        <v>2270</v>
      </c>
    </row>
    <row r="416" spans="2:3">
      <c r="C416" s="16" t="s">
        <v>2271</v>
      </c>
    </row>
    <row r="417" spans="3:3">
      <c r="C417" s="16" t="s">
        <v>2272</v>
      </c>
    </row>
    <row r="418" spans="3:3">
      <c r="C418" s="16" t="s">
        <v>2273</v>
      </c>
    </row>
    <row r="419" spans="3:3">
      <c r="C419" s="16" t="s">
        <v>2274</v>
      </c>
    </row>
    <row r="420" spans="3:3">
      <c r="C420" s="16" t="s">
        <v>2275</v>
      </c>
    </row>
    <row r="421" spans="3:3">
      <c r="C421" s="16" t="s">
        <v>2276</v>
      </c>
    </row>
    <row r="422" spans="3:3">
      <c r="C422" s="16" t="s">
        <v>2277</v>
      </c>
    </row>
    <row r="423" spans="3:3">
      <c r="C423" s="16" t="s">
        <v>2278</v>
      </c>
    </row>
    <row r="424" spans="3:3">
      <c r="C424" s="16" t="s">
        <v>2279</v>
      </c>
    </row>
    <row r="425" spans="3:3">
      <c r="C425" s="16" t="s">
        <v>2280</v>
      </c>
    </row>
    <row r="426" spans="3:3">
      <c r="C426" s="16" t="s">
        <v>2281</v>
      </c>
    </row>
    <row r="427" spans="3:3">
      <c r="C427" s="16" t="s">
        <v>2282</v>
      </c>
    </row>
    <row r="428" spans="3:3">
      <c r="C428" s="16" t="s">
        <v>2283</v>
      </c>
    </row>
    <row r="429" spans="3:3">
      <c r="C429" s="16" t="s">
        <v>2284</v>
      </c>
    </row>
    <row r="430" spans="3:3">
      <c r="C430" s="16" t="s">
        <v>2285</v>
      </c>
    </row>
    <row r="431" spans="3:3">
      <c r="C431" s="16" t="s">
        <v>2008</v>
      </c>
    </row>
    <row r="432" spans="3:3">
      <c r="C432" s="16" t="s">
        <v>2286</v>
      </c>
    </row>
    <row r="433" spans="3:3">
      <c r="C433" s="16" t="s">
        <v>2287</v>
      </c>
    </row>
    <row r="434" spans="3:3">
      <c r="C434" s="16" t="s">
        <v>2288</v>
      </c>
    </row>
    <row r="435" spans="3:3">
      <c r="C435" s="16" t="s">
        <v>2289</v>
      </c>
    </row>
    <row r="436" spans="3:3">
      <c r="C436" s="16" t="s">
        <v>2290</v>
      </c>
    </row>
    <row r="437" spans="3:3">
      <c r="C437" s="16" t="s">
        <v>2291</v>
      </c>
    </row>
    <row r="438" spans="3:3">
      <c r="C438" s="16" t="s">
        <v>2292</v>
      </c>
    </row>
    <row r="439" spans="3:3">
      <c r="C439" s="16" t="s">
        <v>2293</v>
      </c>
    </row>
    <row r="440" spans="3:3">
      <c r="C440" s="16" t="s">
        <v>2294</v>
      </c>
    </row>
    <row r="441" spans="3:3">
      <c r="C441" s="16" t="s">
        <v>2295</v>
      </c>
    </row>
    <row r="442" spans="3:3">
      <c r="C442" s="16" t="s">
        <v>2296</v>
      </c>
    </row>
    <row r="443" spans="3:3">
      <c r="C443" s="16" t="s">
        <v>2297</v>
      </c>
    </row>
    <row r="444" spans="3:3">
      <c r="C444" s="16" t="s">
        <v>2298</v>
      </c>
    </row>
    <row r="445" spans="3:3">
      <c r="C445" s="16" t="s">
        <v>2299</v>
      </c>
    </row>
    <row r="446" spans="3:3">
      <c r="C446" s="16" t="s">
        <v>2300</v>
      </c>
    </row>
    <row r="447" spans="3:3">
      <c r="C447" s="16" t="s">
        <v>2301</v>
      </c>
    </row>
    <row r="448" spans="3:3">
      <c r="C448" s="16" t="s">
        <v>2302</v>
      </c>
    </row>
    <row r="449" spans="3:3">
      <c r="C449" s="16" t="s">
        <v>2303</v>
      </c>
    </row>
    <row r="450" spans="3:3">
      <c r="C450" s="16" t="s">
        <v>2304</v>
      </c>
    </row>
    <row r="451" spans="3:3">
      <c r="C451" s="16" t="s">
        <v>2305</v>
      </c>
    </row>
    <row r="452" spans="3:3">
      <c r="C452" s="16" t="s">
        <v>2306</v>
      </c>
    </row>
    <row r="453" spans="3:3">
      <c r="C453" s="16" t="s">
        <v>2307</v>
      </c>
    </row>
    <row r="454" spans="3:3">
      <c r="C454" s="16" t="s">
        <v>2308</v>
      </c>
    </row>
    <row r="455" spans="3:3">
      <c r="C455" s="16" t="s">
        <v>2309</v>
      </c>
    </row>
    <row r="456" spans="3:3">
      <c r="C456" s="16" t="s">
        <v>2310</v>
      </c>
    </row>
    <row r="457" spans="3:3">
      <c r="C457" s="16" t="s">
        <v>2311</v>
      </c>
    </row>
    <row r="458" spans="3:3">
      <c r="C458" s="16" t="s">
        <v>2008</v>
      </c>
    </row>
    <row r="459" spans="3:3">
      <c r="C459" s="16" t="s">
        <v>2312</v>
      </c>
    </row>
    <row r="460" spans="3:3">
      <c r="C460" s="16" t="s">
        <v>2313</v>
      </c>
    </row>
    <row r="461" spans="3:3">
      <c r="C461" s="16" t="s">
        <v>2314</v>
      </c>
    </row>
    <row r="462" spans="3:3">
      <c r="C462" s="16" t="s">
        <v>2315</v>
      </c>
    </row>
    <row r="463" spans="3:3">
      <c r="C463" s="16" t="s">
        <v>2316</v>
      </c>
    </row>
    <row r="464" spans="3:3">
      <c r="C464" s="16" t="s">
        <v>2317</v>
      </c>
    </row>
    <row r="465" spans="3:3">
      <c r="C465" s="16" t="s">
        <v>2318</v>
      </c>
    </row>
    <row r="466" spans="3:3">
      <c r="C466" s="16" t="s">
        <v>2319</v>
      </c>
    </row>
    <row r="467" spans="3:3">
      <c r="C467" s="16" t="s">
        <v>2320</v>
      </c>
    </row>
    <row r="468" spans="3:3">
      <c r="C468" s="16" t="s">
        <v>2321</v>
      </c>
    </row>
    <row r="469" spans="3:3">
      <c r="C469" s="16" t="s">
        <v>2322</v>
      </c>
    </row>
    <row r="470" spans="3:3">
      <c r="C470" s="16" t="s">
        <v>2323</v>
      </c>
    </row>
    <row r="471" spans="3:3">
      <c r="C471" s="16" t="s">
        <v>2324</v>
      </c>
    </row>
    <row r="472" spans="3:3">
      <c r="C472" s="16" t="s">
        <v>2325</v>
      </c>
    </row>
    <row r="473" spans="3:3">
      <c r="C473" s="16" t="s">
        <v>2326</v>
      </c>
    </row>
    <row r="474" spans="3:3">
      <c r="C474" s="16" t="s">
        <v>2327</v>
      </c>
    </row>
    <row r="475" spans="3:3">
      <c r="C475" s="16" t="s">
        <v>2328</v>
      </c>
    </row>
    <row r="476" spans="3:3">
      <c r="C476" s="16" t="s">
        <v>2329</v>
      </c>
    </row>
    <row r="477" spans="3:3">
      <c r="C477" s="16" t="s">
        <v>2330</v>
      </c>
    </row>
    <row r="478" spans="3:3">
      <c r="C478" s="16" t="s">
        <v>2331</v>
      </c>
    </row>
    <row r="479" spans="3:3">
      <c r="C479" s="16" t="s">
        <v>2332</v>
      </c>
    </row>
    <row r="480" spans="3:3">
      <c r="C480" s="16" t="s">
        <v>2333</v>
      </c>
    </row>
    <row r="481" spans="3:3">
      <c r="C481" s="16" t="s">
        <v>2334</v>
      </c>
    </row>
    <row r="482" spans="3:3">
      <c r="C482" s="16" t="s">
        <v>2335</v>
      </c>
    </row>
    <row r="483" spans="3:3">
      <c r="C483" s="16" t="s">
        <v>2336</v>
      </c>
    </row>
    <row r="484" spans="3:3">
      <c r="C484" s="16" t="s">
        <v>2337</v>
      </c>
    </row>
    <row r="485" spans="3:3">
      <c r="C485" s="16" t="s">
        <v>2338</v>
      </c>
    </row>
    <row r="486" spans="3:3">
      <c r="C486" s="16" t="s">
        <v>2339</v>
      </c>
    </row>
    <row r="487" spans="3:3">
      <c r="C487" s="16" t="s">
        <v>2340</v>
      </c>
    </row>
    <row r="488" spans="3:3">
      <c r="C488" s="16" t="s">
        <v>2341</v>
      </c>
    </row>
    <row r="489" spans="3:3">
      <c r="C489" s="16" t="s">
        <v>2342</v>
      </c>
    </row>
    <row r="490" spans="3:3">
      <c r="C490" s="16" t="s">
        <v>2343</v>
      </c>
    </row>
    <row r="491" spans="3:3">
      <c r="C491" s="16" t="s">
        <v>2344</v>
      </c>
    </row>
    <row r="492" spans="3:3">
      <c r="C492" s="16" t="s">
        <v>2345</v>
      </c>
    </row>
    <row r="493" spans="3:3">
      <c r="C493" s="16" t="s">
        <v>2346</v>
      </c>
    </row>
    <row r="494" spans="3:3">
      <c r="C494" s="16" t="s">
        <v>2347</v>
      </c>
    </row>
    <row r="495" spans="3:3">
      <c r="C495" s="16" t="s">
        <v>2348</v>
      </c>
    </row>
    <row r="496" spans="3:3">
      <c r="C496" s="16" t="s">
        <v>2349</v>
      </c>
    </row>
    <row r="497" spans="3:3">
      <c r="C497" s="16" t="s">
        <v>2350</v>
      </c>
    </row>
    <row r="498" spans="3:3">
      <c r="C498" s="16" t="s">
        <v>2351</v>
      </c>
    </row>
    <row r="499" spans="3:3">
      <c r="C499" s="16" t="s">
        <v>2352</v>
      </c>
    </row>
    <row r="500" spans="3:3">
      <c r="C500" s="16" t="s">
        <v>2353</v>
      </c>
    </row>
    <row r="501" spans="3:3">
      <c r="C501" s="16" t="s">
        <v>2354</v>
      </c>
    </row>
    <row r="502" spans="3:3">
      <c r="C502" s="16" t="s">
        <v>2008</v>
      </c>
    </row>
    <row r="503" spans="3:3">
      <c r="C503" s="16" t="s">
        <v>2355</v>
      </c>
    </row>
    <row r="504" spans="3:3">
      <c r="C504" s="16" t="s">
        <v>2356</v>
      </c>
    </row>
    <row r="505" spans="3:3">
      <c r="C505" s="16" t="s">
        <v>2357</v>
      </c>
    </row>
    <row r="506" spans="3:3">
      <c r="C506" s="16" t="s">
        <v>2358</v>
      </c>
    </row>
    <row r="507" spans="3:3">
      <c r="C507" s="16" t="s">
        <v>2359</v>
      </c>
    </row>
    <row r="508" spans="3:3">
      <c r="C508" s="16" t="s">
        <v>2360</v>
      </c>
    </row>
    <row r="509" spans="3:3">
      <c r="C509" s="16" t="s">
        <v>2361</v>
      </c>
    </row>
    <row r="510" spans="3:3">
      <c r="C510" s="16" t="s">
        <v>2362</v>
      </c>
    </row>
    <row r="511" spans="3:3">
      <c r="C511" s="16" t="s">
        <v>2363</v>
      </c>
    </row>
    <row r="512" spans="3:3">
      <c r="C512" s="16" t="s">
        <v>2364</v>
      </c>
    </row>
    <row r="513" spans="3:3">
      <c r="C513" s="16" t="s">
        <v>2365</v>
      </c>
    </row>
    <row r="514" spans="3:3">
      <c r="C514" s="16" t="s">
        <v>2366</v>
      </c>
    </row>
    <row r="515" spans="3:3">
      <c r="C515" s="16" t="s">
        <v>2367</v>
      </c>
    </row>
    <row r="516" spans="3:3">
      <c r="C516" s="16" t="s">
        <v>2368</v>
      </c>
    </row>
    <row r="517" spans="3:3">
      <c r="C517" s="16" t="s">
        <v>2369</v>
      </c>
    </row>
    <row r="518" spans="3:3">
      <c r="C518" s="16" t="s">
        <v>2370</v>
      </c>
    </row>
    <row r="519" spans="3:3">
      <c r="C519" s="16" t="s">
        <v>2371</v>
      </c>
    </row>
    <row r="520" spans="3:3">
      <c r="C520" s="16" t="s">
        <v>2372</v>
      </c>
    </row>
    <row r="521" spans="3:3">
      <c r="C521" s="16" t="s">
        <v>2373</v>
      </c>
    </row>
    <row r="522" spans="3:3">
      <c r="C522" s="16" t="s">
        <v>2374</v>
      </c>
    </row>
    <row r="523" spans="3:3">
      <c r="C523" s="16" t="s">
        <v>2008</v>
      </c>
    </row>
    <row r="524" spans="3:3">
      <c r="C524" s="16" t="s">
        <v>2375</v>
      </c>
    </row>
    <row r="525" spans="3:3">
      <c r="C525" s="16" t="s">
        <v>2376</v>
      </c>
    </row>
    <row r="526" spans="3:3">
      <c r="C526" s="16" t="s">
        <v>2377</v>
      </c>
    </row>
    <row r="527" spans="3:3">
      <c r="C527" s="16" t="s">
        <v>2378</v>
      </c>
    </row>
    <row r="528" spans="3:3">
      <c r="C528" s="16" t="s">
        <v>2379</v>
      </c>
    </row>
    <row r="529" spans="3:3">
      <c r="C529" s="16" t="s">
        <v>2380</v>
      </c>
    </row>
    <row r="530" spans="3:3">
      <c r="C530" s="16" t="s">
        <v>2271</v>
      </c>
    </row>
    <row r="531" spans="3:3">
      <c r="C531" s="16" t="s">
        <v>2381</v>
      </c>
    </row>
    <row r="532" spans="3:3">
      <c r="C532" s="16" t="s">
        <v>2382</v>
      </c>
    </row>
    <row r="533" spans="3:3">
      <c r="C533" s="16" t="s">
        <v>2383</v>
      </c>
    </row>
    <row r="534" spans="3:3">
      <c r="C534" s="16" t="s">
        <v>2384</v>
      </c>
    </row>
    <row r="535" spans="3:3">
      <c r="C535" s="16" t="s">
        <v>2385</v>
      </c>
    </row>
    <row r="536" spans="3:3">
      <c r="C536" s="16" t="s">
        <v>2386</v>
      </c>
    </row>
    <row r="537" spans="3:3">
      <c r="C537" s="16" t="s">
        <v>2387</v>
      </c>
    </row>
    <row r="538" spans="3:3">
      <c r="C538" s="16" t="s">
        <v>2388</v>
      </c>
    </row>
    <row r="539" spans="3:3">
      <c r="C539" s="16" t="s">
        <v>2389</v>
      </c>
    </row>
    <row r="540" spans="3:3">
      <c r="C540" s="16" t="s">
        <v>2390</v>
      </c>
    </row>
    <row r="541" spans="3:3">
      <c r="C541" s="16" t="s">
        <v>2391</v>
      </c>
    </row>
    <row r="542" spans="3:3">
      <c r="C542" s="16" t="s">
        <v>2392</v>
      </c>
    </row>
    <row r="543" spans="3:3">
      <c r="C543" s="16" t="s">
        <v>2393</v>
      </c>
    </row>
    <row r="544" spans="3:3">
      <c r="C544" s="16" t="s">
        <v>2394</v>
      </c>
    </row>
    <row r="545" spans="3:3">
      <c r="C545" s="16" t="s">
        <v>2395</v>
      </c>
    </row>
    <row r="546" spans="3:3">
      <c r="C546" s="16" t="s">
        <v>2396</v>
      </c>
    </row>
    <row r="547" spans="3:3">
      <c r="C547" s="16" t="s">
        <v>2397</v>
      </c>
    </row>
    <row r="548" spans="3:3">
      <c r="C548" s="16" t="s">
        <v>2398</v>
      </c>
    </row>
    <row r="549" spans="3:3">
      <c r="C549" s="16" t="s">
        <v>2399</v>
      </c>
    </row>
    <row r="550" spans="3:3">
      <c r="C550" s="16" t="s">
        <v>2400</v>
      </c>
    </row>
    <row r="551" spans="3:3">
      <c r="C551" s="16" t="s">
        <v>2401</v>
      </c>
    </row>
    <row r="552" spans="3:3">
      <c r="C552" s="16" t="s">
        <v>2402</v>
      </c>
    </row>
    <row r="553" spans="3:3">
      <c r="C553" s="16" t="s">
        <v>2403</v>
      </c>
    </row>
    <row r="554" spans="3:3">
      <c r="C554" s="16" t="s">
        <v>2404</v>
      </c>
    </row>
    <row r="555" spans="3:3">
      <c r="C555" s="16" t="s">
        <v>2405</v>
      </c>
    </row>
    <row r="556" spans="3:3">
      <c r="C556" s="16" t="s">
        <v>2406</v>
      </c>
    </row>
    <row r="557" spans="3:3">
      <c r="C557" s="16" t="s">
        <v>2407</v>
      </c>
    </row>
    <row r="558" spans="3:3">
      <c r="C558" s="16" t="s">
        <v>2408</v>
      </c>
    </row>
    <row r="559" spans="3:3">
      <c r="C559" s="16" t="s">
        <v>2409</v>
      </c>
    </row>
    <row r="560" spans="3:3">
      <c r="C560" s="16" t="s">
        <v>2410</v>
      </c>
    </row>
    <row r="561" spans="3:3">
      <c r="C561" s="16" t="s">
        <v>2411</v>
      </c>
    </row>
    <row r="562" spans="3:3">
      <c r="C562" s="16" t="s">
        <v>2071</v>
      </c>
    </row>
    <row r="563" spans="3:3">
      <c r="C563" s="16" t="s">
        <v>2412</v>
      </c>
    </row>
    <row r="564" spans="3:3">
      <c r="C564" s="16" t="s">
        <v>2413</v>
      </c>
    </row>
    <row r="565" spans="3:3">
      <c r="C565" s="16" t="s">
        <v>2414</v>
      </c>
    </row>
    <row r="566" spans="3:3">
      <c r="C566" s="16" t="s">
        <v>2415</v>
      </c>
    </row>
    <row r="567" spans="3:3">
      <c r="C567" s="16" t="s">
        <v>2416</v>
      </c>
    </row>
    <row r="568" spans="3:3">
      <c r="C568" s="16" t="s">
        <v>2417</v>
      </c>
    </row>
    <row r="569" spans="3:3">
      <c r="C569" s="16" t="s">
        <v>2418</v>
      </c>
    </row>
    <row r="570" spans="3:3">
      <c r="C570" s="16" t="s">
        <v>2419</v>
      </c>
    </row>
    <row r="571" spans="3:3">
      <c r="C571" s="16" t="s">
        <v>2420</v>
      </c>
    </row>
    <row r="572" spans="3:3">
      <c r="C572" s="16" t="s">
        <v>2421</v>
      </c>
    </row>
    <row r="573" spans="3:3">
      <c r="C573" s="16" t="s">
        <v>2422</v>
      </c>
    </row>
    <row r="574" spans="3:3">
      <c r="C574" s="16" t="s">
        <v>2423</v>
      </c>
    </row>
    <row r="575" spans="3:3">
      <c r="C575" s="16" t="s">
        <v>2424</v>
      </c>
    </row>
    <row r="576" spans="3:3">
      <c r="C576" s="16" t="s">
        <v>2425</v>
      </c>
    </row>
    <row r="577" spans="3:3">
      <c r="C577" s="16" t="s">
        <v>2426</v>
      </c>
    </row>
    <row r="578" spans="3:3">
      <c r="C578" s="16" t="s">
        <v>2427</v>
      </c>
    </row>
    <row r="579" spans="3:3">
      <c r="C579" s="16" t="s">
        <v>2428</v>
      </c>
    </row>
    <row r="580" spans="3:3">
      <c r="C580" s="16" t="s">
        <v>2429</v>
      </c>
    </row>
    <row r="581" spans="3:3">
      <c r="C581" s="16" t="s">
        <v>2430</v>
      </c>
    </row>
    <row r="582" spans="3:3">
      <c r="C582" s="16" t="s">
        <v>2431</v>
      </c>
    </row>
    <row r="583" spans="3:3">
      <c r="C583" s="16" t="s">
        <v>2432</v>
      </c>
    </row>
    <row r="584" spans="3:3">
      <c r="C584" s="16" t="s">
        <v>2433</v>
      </c>
    </row>
    <row r="585" spans="3:3">
      <c r="C585" s="16" t="s">
        <v>2434</v>
      </c>
    </row>
    <row r="586" spans="3:3">
      <c r="C586" s="16" t="s">
        <v>2435</v>
      </c>
    </row>
    <row r="587" spans="3:3">
      <c r="C587" s="16" t="s">
        <v>2436</v>
      </c>
    </row>
    <row r="588" spans="3:3">
      <c r="C588" s="16" t="s">
        <v>2437</v>
      </c>
    </row>
    <row r="589" spans="3:3">
      <c r="C589" s="16" t="s">
        <v>2438</v>
      </c>
    </row>
    <row r="590" spans="3:3">
      <c r="C590" s="16" t="s">
        <v>2439</v>
      </c>
    </row>
    <row r="591" spans="3:3">
      <c r="C591" s="16" t="s">
        <v>2008</v>
      </c>
    </row>
    <row r="592" spans="3:3">
      <c r="C592" s="16" t="s">
        <v>2440</v>
      </c>
    </row>
    <row r="593" spans="3:3">
      <c r="C593" s="16" t="s">
        <v>2441</v>
      </c>
    </row>
    <row r="594" spans="3:3">
      <c r="C594" s="16" t="s">
        <v>2442</v>
      </c>
    </row>
    <row r="595" spans="3:3">
      <c r="C595" s="16" t="s">
        <v>2443</v>
      </c>
    </row>
    <row r="596" spans="3:3">
      <c r="C596" s="16" t="s">
        <v>2444</v>
      </c>
    </row>
    <row r="597" spans="3:3">
      <c r="C597" s="16" t="s">
        <v>2445</v>
      </c>
    </row>
    <row r="598" spans="3:3">
      <c r="C598" s="16" t="s">
        <v>2446</v>
      </c>
    </row>
    <row r="599" spans="3:3">
      <c r="C599" s="16" t="s">
        <v>2447</v>
      </c>
    </row>
    <row r="600" spans="3:3">
      <c r="C600" s="16" t="s">
        <v>2448</v>
      </c>
    </row>
    <row r="601" spans="3:3">
      <c r="C601" s="16" t="s">
        <v>2449</v>
      </c>
    </row>
    <row r="602" spans="3:3">
      <c r="C602" s="16" t="s">
        <v>2450</v>
      </c>
    </row>
    <row r="603" spans="3:3">
      <c r="C603" s="16" t="s">
        <v>2451</v>
      </c>
    </row>
    <row r="604" spans="3:3">
      <c r="C604" s="16" t="s">
        <v>2452</v>
      </c>
    </row>
    <row r="605" spans="3:3">
      <c r="C605" s="16" t="s">
        <v>2453</v>
      </c>
    </row>
    <row r="606" spans="3:3">
      <c r="C606" s="16" t="s">
        <v>2454</v>
      </c>
    </row>
    <row r="607" spans="3:3">
      <c r="C607" s="16" t="s">
        <v>2455</v>
      </c>
    </row>
    <row r="608" spans="3:3">
      <c r="C608" s="16" t="s">
        <v>2456</v>
      </c>
    </row>
    <row r="609" spans="3:3">
      <c r="C609" s="16" t="s">
        <v>2457</v>
      </c>
    </row>
    <row r="610" spans="3:3">
      <c r="C610" s="16" t="s">
        <v>2458</v>
      </c>
    </row>
    <row r="611" spans="3:3">
      <c r="C611" s="16" t="s">
        <v>2459</v>
      </c>
    </row>
    <row r="612" spans="3:3">
      <c r="C612" s="16" t="s">
        <v>2008</v>
      </c>
    </row>
    <row r="613" spans="3:3">
      <c r="C613" s="16" t="s">
        <v>2460</v>
      </c>
    </row>
    <row r="614" spans="3:3">
      <c r="C614" s="16" t="s">
        <v>2461</v>
      </c>
    </row>
    <row r="615" spans="3:3">
      <c r="C615" s="16" t="s">
        <v>2462</v>
      </c>
    </row>
    <row r="616" spans="3:3">
      <c r="C616" s="16" t="s">
        <v>2463</v>
      </c>
    </row>
    <row r="617" spans="3:3">
      <c r="C617" s="16" t="s">
        <v>2464</v>
      </c>
    </row>
    <row r="618" spans="3:3">
      <c r="C618" s="16" t="s">
        <v>2465</v>
      </c>
    </row>
    <row r="619" spans="3:3">
      <c r="C619" s="16" t="s">
        <v>2466</v>
      </c>
    </row>
    <row r="620" spans="3:3">
      <c r="C620" s="16" t="s">
        <v>2467</v>
      </c>
    </row>
    <row r="621" spans="3:3">
      <c r="C621" s="16" t="s">
        <v>2468</v>
      </c>
    </row>
    <row r="622" spans="3:3">
      <c r="C622" s="16" t="s">
        <v>2469</v>
      </c>
    </row>
    <row r="623" spans="3:3">
      <c r="C623" s="16" t="s">
        <v>2470</v>
      </c>
    </row>
    <row r="624" spans="3:3">
      <c r="C624" s="16" t="s">
        <v>2471</v>
      </c>
    </row>
    <row r="625" spans="3:3">
      <c r="C625" s="16" t="s">
        <v>2472</v>
      </c>
    </row>
    <row r="626" spans="3:3">
      <c r="C626" s="16" t="s">
        <v>2473</v>
      </c>
    </row>
    <row r="627" spans="3:3">
      <c r="C627" s="16" t="s">
        <v>2474</v>
      </c>
    </row>
    <row r="628" spans="3:3">
      <c r="C628" s="16" t="s">
        <v>2475</v>
      </c>
    </row>
    <row r="629" spans="3:3">
      <c r="C629" s="16" t="s">
        <v>2476</v>
      </c>
    </row>
    <row r="630" spans="3:3">
      <c r="C630" s="16" t="s">
        <v>2477</v>
      </c>
    </row>
    <row r="631" spans="3:3">
      <c r="C631" s="16" t="s">
        <v>2478</v>
      </c>
    </row>
    <row r="632" spans="3:3">
      <c r="C632" s="16" t="s">
        <v>2479</v>
      </c>
    </row>
    <row r="633" spans="3:3">
      <c r="C633" s="16" t="s">
        <v>2480</v>
      </c>
    </row>
    <row r="634" spans="3:3">
      <c r="C634" s="16" t="s">
        <v>2481</v>
      </c>
    </row>
    <row r="635" spans="3:3">
      <c r="C635" s="16" t="s">
        <v>2482</v>
      </c>
    </row>
    <row r="636" spans="3:3">
      <c r="C636" s="16" t="s">
        <v>2483</v>
      </c>
    </row>
    <row r="637" spans="3:3">
      <c r="C637" s="16" t="s">
        <v>2484</v>
      </c>
    </row>
    <row r="638" spans="3:3">
      <c r="C638" s="16" t="s">
        <v>2485</v>
      </c>
    </row>
    <row r="639" spans="3:3">
      <c r="C639" s="16" t="s">
        <v>2486</v>
      </c>
    </row>
    <row r="640" spans="3:3">
      <c r="C640" s="16" t="s">
        <v>2487</v>
      </c>
    </row>
    <row r="641" spans="3:3">
      <c r="C641" s="16" t="s">
        <v>2488</v>
      </c>
    </row>
    <row r="642" spans="3:3">
      <c r="C642" s="16" t="s">
        <v>2489</v>
      </c>
    </row>
    <row r="643" spans="3:3">
      <c r="C643" s="16" t="s">
        <v>2490</v>
      </c>
    </row>
    <row r="644" spans="3:3">
      <c r="C644" s="16" t="s">
        <v>2491</v>
      </c>
    </row>
    <row r="645" spans="3:3">
      <c r="C645" s="16" t="s">
        <v>2492</v>
      </c>
    </row>
    <row r="646" spans="3:3">
      <c r="C646" s="16" t="s">
        <v>2008</v>
      </c>
    </row>
    <row r="647" spans="3:3">
      <c r="C647" s="16" t="s">
        <v>2493</v>
      </c>
    </row>
    <row r="648" spans="3:3">
      <c r="C648" s="16" t="s">
        <v>2494</v>
      </c>
    </row>
    <row r="649" spans="3:3">
      <c r="C649" s="16" t="s">
        <v>2495</v>
      </c>
    </row>
    <row r="650" spans="3:3">
      <c r="C650" s="16" t="s">
        <v>2496</v>
      </c>
    </row>
    <row r="651" spans="3:3">
      <c r="C651" s="16" t="s">
        <v>2497</v>
      </c>
    </row>
    <row r="652" spans="3:3">
      <c r="C652" s="16" t="s">
        <v>2498</v>
      </c>
    </row>
    <row r="653" spans="3:3">
      <c r="C653" s="16" t="s">
        <v>2499</v>
      </c>
    </row>
    <row r="654" spans="3:3">
      <c r="C654" s="16" t="s">
        <v>2500</v>
      </c>
    </row>
    <row r="655" spans="3:3">
      <c r="C655" s="16" t="s">
        <v>2501</v>
      </c>
    </row>
    <row r="656" spans="3:3">
      <c r="C656" s="16" t="s">
        <v>2502</v>
      </c>
    </row>
    <row r="657" spans="3:3">
      <c r="C657" s="16" t="s">
        <v>2503</v>
      </c>
    </row>
    <row r="658" spans="3:3">
      <c r="C658" s="16" t="s">
        <v>2504</v>
      </c>
    </row>
    <row r="659" spans="3:3">
      <c r="C659" s="16" t="s">
        <v>2505</v>
      </c>
    </row>
    <row r="660" spans="3:3">
      <c r="C660" s="16" t="s">
        <v>2506</v>
      </c>
    </row>
    <row r="661" spans="3:3">
      <c r="C661" s="16" t="s">
        <v>2507</v>
      </c>
    </row>
    <row r="662" spans="3:3">
      <c r="C662" s="16" t="s">
        <v>2508</v>
      </c>
    </row>
    <row r="663" spans="3:3">
      <c r="C663" s="16" t="s">
        <v>2509</v>
      </c>
    </row>
    <row r="664" spans="3:3">
      <c r="C664" s="16" t="s">
        <v>2510</v>
      </c>
    </row>
    <row r="665" spans="3:3">
      <c r="C665" s="16" t="s">
        <v>2511</v>
      </c>
    </row>
    <row r="666" spans="3:3">
      <c r="C666" s="16" t="s">
        <v>2512</v>
      </c>
    </row>
    <row r="667" spans="3:3">
      <c r="C667" s="16" t="s">
        <v>2513</v>
      </c>
    </row>
    <row r="668" spans="3:3">
      <c r="C668" s="16" t="s">
        <v>2514</v>
      </c>
    </row>
    <row r="669" spans="3:3">
      <c r="C669" s="16" t="s">
        <v>2515</v>
      </c>
    </row>
    <row r="670" spans="3:3">
      <c r="C670" s="16" t="s">
        <v>2516</v>
      </c>
    </row>
    <row r="671" spans="3:3">
      <c r="C671" s="16" t="s">
        <v>2517</v>
      </c>
    </row>
    <row r="672" spans="3:3">
      <c r="C672" s="16" t="s">
        <v>2071</v>
      </c>
    </row>
    <row r="673" spans="3:3">
      <c r="C673" s="16" t="s">
        <v>2518</v>
      </c>
    </row>
    <row r="674" spans="3:3">
      <c r="C674" s="16" t="s">
        <v>2519</v>
      </c>
    </row>
    <row r="675" spans="3:3">
      <c r="C675" s="16" t="s">
        <v>2520</v>
      </c>
    </row>
    <row r="676" spans="3:3">
      <c r="C676" s="16" t="s">
        <v>2521</v>
      </c>
    </row>
    <row r="677" spans="3:3">
      <c r="C677" s="16" t="s">
        <v>2522</v>
      </c>
    </row>
    <row r="678" spans="3:3">
      <c r="C678" s="16" t="s">
        <v>2523</v>
      </c>
    </row>
    <row r="679" spans="3:3">
      <c r="C679" s="16" t="s">
        <v>2524</v>
      </c>
    </row>
    <row r="680" spans="3:3">
      <c r="C680" s="16" t="s">
        <v>2525</v>
      </c>
    </row>
    <row r="681" spans="3:3">
      <c r="C681" s="16" t="s">
        <v>2526</v>
      </c>
    </row>
    <row r="682" spans="3:3">
      <c r="C682" s="16" t="s">
        <v>2527</v>
      </c>
    </row>
    <row r="683" spans="3:3">
      <c r="C683" s="16" t="s">
        <v>2008</v>
      </c>
    </row>
    <row r="684" spans="3:3">
      <c r="C684" s="16" t="s">
        <v>2528</v>
      </c>
    </row>
    <row r="685" spans="3:3">
      <c r="C685" s="16" t="s">
        <v>2529</v>
      </c>
    </row>
    <row r="686" spans="3:3">
      <c r="C686" s="16" t="s">
        <v>2530</v>
      </c>
    </row>
    <row r="687" spans="3:3">
      <c r="C687" s="16" t="s">
        <v>2531</v>
      </c>
    </row>
    <row r="688" spans="3:3">
      <c r="C688" s="16" t="s">
        <v>2532</v>
      </c>
    </row>
    <row r="689" spans="3:3">
      <c r="C689" s="16" t="s">
        <v>2533</v>
      </c>
    </row>
    <row r="690" spans="3:3">
      <c r="C690" s="16" t="s">
        <v>2534</v>
      </c>
    </row>
    <row r="691" spans="3:3">
      <c r="C691" s="16" t="s">
        <v>2535</v>
      </c>
    </row>
    <row r="692" spans="3:3">
      <c r="C692" s="16" t="s">
        <v>2536</v>
      </c>
    </row>
    <row r="693" spans="3:3">
      <c r="C693" s="16" t="s">
        <v>2537</v>
      </c>
    </row>
    <row r="694" spans="3:3">
      <c r="C694" s="16" t="s">
        <v>2538</v>
      </c>
    </row>
    <row r="695" spans="3:3">
      <c r="C695" s="16" t="s">
        <v>2539</v>
      </c>
    </row>
    <row r="696" spans="3:3">
      <c r="C696" s="16" t="s">
        <v>2540</v>
      </c>
    </row>
    <row r="697" spans="3:3">
      <c r="C697" s="16" t="s">
        <v>2541</v>
      </c>
    </row>
    <row r="698" spans="3:3">
      <c r="C698" s="16" t="s">
        <v>2542</v>
      </c>
    </row>
    <row r="699" spans="3:3">
      <c r="C699" s="16" t="s">
        <v>2543</v>
      </c>
    </row>
    <row r="700" spans="3:3">
      <c r="C700" s="16" t="s">
        <v>2544</v>
      </c>
    </row>
    <row r="701" spans="3:3">
      <c r="C701" s="16" t="s">
        <v>2545</v>
      </c>
    </row>
    <row r="702" spans="3:3">
      <c r="C702" s="16" t="s">
        <v>2546</v>
      </c>
    </row>
    <row r="703" spans="3:3">
      <c r="C703" s="16" t="s">
        <v>2547</v>
      </c>
    </row>
    <row r="704" spans="3:3">
      <c r="C704" s="16" t="s">
        <v>2548</v>
      </c>
    </row>
    <row r="705" spans="3:3">
      <c r="C705" s="16" t="s">
        <v>2549</v>
      </c>
    </row>
    <row r="706" spans="3:3">
      <c r="C706" s="16" t="s">
        <v>2550</v>
      </c>
    </row>
    <row r="707" spans="3:3">
      <c r="C707" s="16" t="s">
        <v>2551</v>
      </c>
    </row>
    <row r="708" spans="3:3">
      <c r="C708" s="16" t="s">
        <v>2552</v>
      </c>
    </row>
    <row r="709" spans="3:3">
      <c r="C709" s="16" t="s">
        <v>2553</v>
      </c>
    </row>
    <row r="710" spans="3:3">
      <c r="C710" s="16" t="s">
        <v>2554</v>
      </c>
    </row>
    <row r="711" spans="3:3">
      <c r="C711" s="16" t="s">
        <v>2555</v>
      </c>
    </row>
    <row r="712" spans="3:3">
      <c r="C712" s="16" t="s">
        <v>2556</v>
      </c>
    </row>
    <row r="713" spans="3:3">
      <c r="C713" s="16" t="s">
        <v>2557</v>
      </c>
    </row>
    <row r="714" spans="3:3">
      <c r="C714" s="16" t="s">
        <v>2558</v>
      </c>
    </row>
    <row r="715" spans="3:3">
      <c r="C715" s="16" t="s">
        <v>2559</v>
      </c>
    </row>
    <row r="716" spans="3:3">
      <c r="C716" s="16" t="s">
        <v>2560</v>
      </c>
    </row>
    <row r="717" spans="3:3">
      <c r="C717" s="16" t="s">
        <v>2561</v>
      </c>
    </row>
    <row r="718" spans="3:3">
      <c r="C718" s="16" t="s">
        <v>2562</v>
      </c>
    </row>
    <row r="719" spans="3:3">
      <c r="C719" s="16" t="s">
        <v>2563</v>
      </c>
    </row>
    <row r="720" spans="3:3">
      <c r="C720" s="16" t="s">
        <v>2564</v>
      </c>
    </row>
    <row r="721" spans="3:3">
      <c r="C721" s="16" t="s">
        <v>2565</v>
      </c>
    </row>
    <row r="722" spans="3:3">
      <c r="C722" s="16" t="s">
        <v>2566</v>
      </c>
    </row>
    <row r="723" spans="3:3">
      <c r="C723" s="16" t="s">
        <v>2567</v>
      </c>
    </row>
    <row r="724" spans="3:3">
      <c r="C724" s="16" t="s">
        <v>2568</v>
      </c>
    </row>
    <row r="725" spans="3:3">
      <c r="C725" s="16" t="s">
        <v>2569</v>
      </c>
    </row>
    <row r="726" spans="3:3">
      <c r="C726" s="16" t="s">
        <v>2570</v>
      </c>
    </row>
    <row r="727" spans="3:3">
      <c r="C727" s="16" t="s">
        <v>2571</v>
      </c>
    </row>
    <row r="728" spans="3:3">
      <c r="C728" s="16" t="s">
        <v>2572</v>
      </c>
    </row>
    <row r="729" spans="3:3">
      <c r="C729" s="16" t="s">
        <v>2008</v>
      </c>
    </row>
    <row r="730" spans="3:3">
      <c r="C730" s="16" t="s">
        <v>2573</v>
      </c>
    </row>
    <row r="731" spans="3:3">
      <c r="C731" s="16" t="s">
        <v>2574</v>
      </c>
    </row>
    <row r="732" spans="3:3">
      <c r="C732" s="16" t="s">
        <v>2575</v>
      </c>
    </row>
    <row r="733" spans="3:3">
      <c r="C733" s="16" t="s">
        <v>2576</v>
      </c>
    </row>
    <row r="734" spans="3:3">
      <c r="C734" s="16" t="s">
        <v>2577</v>
      </c>
    </row>
    <row r="735" spans="3:3">
      <c r="C735" s="16" t="s">
        <v>2578</v>
      </c>
    </row>
    <row r="736" spans="3:3">
      <c r="C736" s="16" t="s">
        <v>2579</v>
      </c>
    </row>
    <row r="737" spans="3:3">
      <c r="C737" s="16" t="s">
        <v>2580</v>
      </c>
    </row>
    <row r="738" spans="3:3">
      <c r="C738" s="16" t="s">
        <v>2581</v>
      </c>
    </row>
    <row r="739" spans="3:3">
      <c r="C739" s="16" t="s">
        <v>2582</v>
      </c>
    </row>
    <row r="740" spans="3:3">
      <c r="C740" s="16" t="s">
        <v>2583</v>
      </c>
    </row>
    <row r="741" spans="3:3">
      <c r="C741" s="16" t="s">
        <v>2584</v>
      </c>
    </row>
    <row r="742" spans="3:3">
      <c r="C742" s="16" t="s">
        <v>2585</v>
      </c>
    </row>
    <row r="743" spans="3:3">
      <c r="C743" s="16" t="s">
        <v>2586</v>
      </c>
    </row>
    <row r="744" spans="3:3">
      <c r="C744" s="16" t="s">
        <v>2587</v>
      </c>
    </row>
    <row r="745" spans="3:3">
      <c r="C745" s="16" t="s">
        <v>2588</v>
      </c>
    </row>
    <row r="746" spans="3:3">
      <c r="C746" s="16" t="s">
        <v>2589</v>
      </c>
    </row>
    <row r="747" spans="3:3">
      <c r="C747" s="16" t="s">
        <v>2590</v>
      </c>
    </row>
    <row r="748" spans="3:3">
      <c r="C748" s="16" t="s">
        <v>2591</v>
      </c>
    </row>
    <row r="749" spans="3:3">
      <c r="C749" s="16" t="s">
        <v>2592</v>
      </c>
    </row>
    <row r="750" spans="3:3">
      <c r="C750" s="16" t="s">
        <v>2593</v>
      </c>
    </row>
    <row r="751" spans="3:3">
      <c r="C751" s="16" t="s">
        <v>2594</v>
      </c>
    </row>
    <row r="752" spans="3:3">
      <c r="C752" s="16" t="s">
        <v>2595</v>
      </c>
    </row>
    <row r="753" spans="3:3">
      <c r="C753" s="16" t="s">
        <v>2596</v>
      </c>
    </row>
    <row r="754" spans="3:3">
      <c r="C754" s="16" t="s">
        <v>2597</v>
      </c>
    </row>
    <row r="755" spans="3:3">
      <c r="C755" s="16" t="s">
        <v>2598</v>
      </c>
    </row>
    <row r="756" spans="3:3">
      <c r="C756" s="16" t="s">
        <v>2599</v>
      </c>
    </row>
    <row r="757" spans="3:3">
      <c r="C757" s="16" t="s">
        <v>2600</v>
      </c>
    </row>
    <row r="758" spans="3:3">
      <c r="C758" s="16" t="s">
        <v>2601</v>
      </c>
    </row>
    <row r="759" spans="3:3">
      <c r="C759" s="16" t="s">
        <v>2602</v>
      </c>
    </row>
    <row r="760" spans="3:3">
      <c r="C760" s="16" t="s">
        <v>2008</v>
      </c>
    </row>
    <row r="761" spans="3:3">
      <c r="C761" s="16" t="s">
        <v>2603</v>
      </c>
    </row>
    <row r="762" spans="3:3">
      <c r="C762" s="16" t="s">
        <v>2604</v>
      </c>
    </row>
    <row r="763" spans="3:3">
      <c r="C763" s="16" t="s">
        <v>2605</v>
      </c>
    </row>
    <row r="764" spans="3:3">
      <c r="C764" s="16" t="s">
        <v>2606</v>
      </c>
    </row>
    <row r="765" spans="3:3">
      <c r="C765" s="16" t="s">
        <v>2607</v>
      </c>
    </row>
    <row r="766" spans="3:3">
      <c r="C766" s="16" t="s">
        <v>2608</v>
      </c>
    </row>
    <row r="767" spans="3:3">
      <c r="C767" s="16" t="s">
        <v>2609</v>
      </c>
    </row>
    <row r="768" spans="3:3">
      <c r="C768" s="16" t="s">
        <v>2610</v>
      </c>
    </row>
    <row r="769" spans="3:3">
      <c r="C769" s="16" t="s">
        <v>2611</v>
      </c>
    </row>
    <row r="770" spans="3:3">
      <c r="C770" s="16" t="s">
        <v>2612</v>
      </c>
    </row>
    <row r="771" spans="3:3">
      <c r="C771" s="16" t="s">
        <v>2613</v>
      </c>
    </row>
    <row r="772" spans="3:3">
      <c r="C772" s="16" t="s">
        <v>2614</v>
      </c>
    </row>
    <row r="773" spans="3:3">
      <c r="C773" s="16" t="s">
        <v>2615</v>
      </c>
    </row>
    <row r="774" spans="3:3">
      <c r="C774" s="16" t="s">
        <v>2616</v>
      </c>
    </row>
    <row r="775" spans="3:3">
      <c r="C775" s="16" t="s">
        <v>2617</v>
      </c>
    </row>
    <row r="776" spans="3:3">
      <c r="C776" s="16" t="s">
        <v>2618</v>
      </c>
    </row>
    <row r="777" spans="3:3">
      <c r="C777" s="16" t="s">
        <v>2619</v>
      </c>
    </row>
    <row r="778" spans="3:3">
      <c r="C778" s="16" t="s">
        <v>2008</v>
      </c>
    </row>
    <row r="779" spans="3:3">
      <c r="C779" s="16" t="s">
        <v>2620</v>
      </c>
    </row>
    <row r="780" spans="3:3">
      <c r="C780" s="16" t="s">
        <v>2621</v>
      </c>
    </row>
    <row r="781" spans="3:3">
      <c r="C781" s="16" t="s">
        <v>2622</v>
      </c>
    </row>
    <row r="782" spans="3:3">
      <c r="C782" s="16" t="s">
        <v>2623</v>
      </c>
    </row>
    <row r="783" spans="3:3">
      <c r="C783" s="16" t="s">
        <v>2624</v>
      </c>
    </row>
    <row r="784" spans="3:3">
      <c r="C784" s="16" t="s">
        <v>2625</v>
      </c>
    </row>
    <row r="785" spans="3:3">
      <c r="C785" s="16" t="s">
        <v>2626</v>
      </c>
    </row>
    <row r="786" spans="3:3">
      <c r="C786" s="16" t="s">
        <v>2627</v>
      </c>
    </row>
    <row r="787" spans="3:3">
      <c r="C787" s="16" t="s">
        <v>2628</v>
      </c>
    </row>
    <row r="788" spans="3:3">
      <c r="C788" s="16" t="s">
        <v>2629</v>
      </c>
    </row>
    <row r="789" spans="3:3">
      <c r="C789" s="16" t="s">
        <v>2630</v>
      </c>
    </row>
    <row r="790" spans="3:3">
      <c r="C790" s="16" t="s">
        <v>2631</v>
      </c>
    </row>
    <row r="791" spans="3:3">
      <c r="C791" s="16" t="s">
        <v>2632</v>
      </c>
    </row>
    <row r="792" spans="3:3">
      <c r="C792" s="16" t="s">
        <v>2633</v>
      </c>
    </row>
    <row r="793" spans="3:3">
      <c r="C793" s="16" t="s">
        <v>2634</v>
      </c>
    </row>
    <row r="794" spans="3:3">
      <c r="C794" s="16" t="s">
        <v>2635</v>
      </c>
    </row>
    <row r="795" spans="3:3">
      <c r="C795" s="16" t="s">
        <v>2636</v>
      </c>
    </row>
    <row r="796" spans="3:3">
      <c r="C796" s="16" t="s">
        <v>2637</v>
      </c>
    </row>
    <row r="797" spans="3:3">
      <c r="C797" s="16" t="s">
        <v>2638</v>
      </c>
    </row>
    <row r="798" spans="3:3">
      <c r="C798" s="16" t="s">
        <v>2639</v>
      </c>
    </row>
    <row r="799" spans="3:3">
      <c r="C799" s="16" t="s">
        <v>2640</v>
      </c>
    </row>
    <row r="800" spans="3:3">
      <c r="C800" s="16" t="s">
        <v>2641</v>
      </c>
    </row>
    <row r="801" spans="3:3">
      <c r="C801" s="16" t="s">
        <v>2642</v>
      </c>
    </row>
    <row r="802" spans="3:3">
      <c r="C802" s="16" t="s">
        <v>2643</v>
      </c>
    </row>
    <row r="803" spans="3:3">
      <c r="C803" s="16" t="s">
        <v>2644</v>
      </c>
    </row>
    <row r="804" spans="3:3">
      <c r="C804" s="16" t="s">
        <v>2645</v>
      </c>
    </row>
    <row r="805" spans="3:3">
      <c r="C805" s="16" t="s">
        <v>2646</v>
      </c>
    </row>
    <row r="806" spans="3:3">
      <c r="C806" s="16" t="s">
        <v>2647</v>
      </c>
    </row>
    <row r="807" spans="3:3">
      <c r="C807" s="16" t="s">
        <v>2648</v>
      </c>
    </row>
    <row r="808" spans="3:3">
      <c r="C808" s="16" t="s">
        <v>2649</v>
      </c>
    </row>
    <row r="809" spans="3:3">
      <c r="C809" s="16" t="s">
        <v>2650</v>
      </c>
    </row>
    <row r="810" spans="3:3">
      <c r="C810" s="16" t="s">
        <v>2651</v>
      </c>
    </row>
    <row r="811" spans="3:3">
      <c r="C811" s="16" t="s">
        <v>2652</v>
      </c>
    </row>
    <row r="812" spans="3:3">
      <c r="C812" s="16" t="s">
        <v>2653</v>
      </c>
    </row>
    <row r="813" spans="3:3">
      <c r="C813" s="16" t="s">
        <v>2176</v>
      </c>
    </row>
    <row r="814" spans="3:3">
      <c r="C814" s="16" t="s">
        <v>2654</v>
      </c>
    </row>
    <row r="815" spans="3:3">
      <c r="C815" s="16" t="s">
        <v>2655</v>
      </c>
    </row>
    <row r="816" spans="3:3">
      <c r="C816" s="16" t="s">
        <v>2656</v>
      </c>
    </row>
    <row r="817" spans="3:3">
      <c r="C817" s="16" t="s">
        <v>2657</v>
      </c>
    </row>
    <row r="818" spans="3:3">
      <c r="C818" s="16" t="s">
        <v>2658</v>
      </c>
    </row>
    <row r="819" spans="3:3">
      <c r="C819" s="16" t="s">
        <v>2659</v>
      </c>
    </row>
    <row r="820" spans="3:3">
      <c r="C820" s="16" t="s">
        <v>2660</v>
      </c>
    </row>
    <row r="821" spans="3:3">
      <c r="C821" s="16" t="s">
        <v>2661</v>
      </c>
    </row>
    <row r="822" spans="3:3">
      <c r="C822" s="16" t="s">
        <v>2662</v>
      </c>
    </row>
    <row r="823" spans="3:3">
      <c r="C823" s="16" t="s">
        <v>2663</v>
      </c>
    </row>
    <row r="824" spans="3:3">
      <c r="C824" s="16" t="s">
        <v>2008</v>
      </c>
    </row>
    <row r="825" spans="3:3">
      <c r="C825" s="16" t="s">
        <v>2664</v>
      </c>
    </row>
    <row r="826" spans="3:3">
      <c r="C826" s="16" t="s">
        <v>2665</v>
      </c>
    </row>
    <row r="827" spans="3:3">
      <c r="C827" s="16" t="s">
        <v>2666</v>
      </c>
    </row>
    <row r="828" spans="3:3">
      <c r="C828" s="16" t="s">
        <v>2667</v>
      </c>
    </row>
    <row r="829" spans="3:3">
      <c r="C829" s="16" t="s">
        <v>2668</v>
      </c>
    </row>
    <row r="830" spans="3:3">
      <c r="C830" s="16" t="s">
        <v>2669</v>
      </c>
    </row>
    <row r="831" spans="3:3">
      <c r="C831" s="16" t="s">
        <v>2670</v>
      </c>
    </row>
    <row r="832" spans="3:3">
      <c r="C832" s="16" t="s">
        <v>2671</v>
      </c>
    </row>
    <row r="833" spans="2:3">
      <c r="C833" s="16" t="s">
        <v>2672</v>
      </c>
    </row>
    <row r="834" spans="2:3">
      <c r="C834" s="16" t="s">
        <v>2673</v>
      </c>
    </row>
    <row r="835" spans="2:3">
      <c r="C835" s="16" t="s">
        <v>2674</v>
      </c>
    </row>
    <row r="837" spans="2:3">
      <c r="B837" s="4" t="s">
        <v>2675</v>
      </c>
    </row>
    <row r="838" spans="2:3">
      <c r="C838" s="16" t="s">
        <v>2676</v>
      </c>
    </row>
    <row r="839" spans="2:3">
      <c r="C839" s="16" t="s">
        <v>2677</v>
      </c>
    </row>
    <row r="840" spans="2:3">
      <c r="C840" s="16" t="s">
        <v>2678</v>
      </c>
    </row>
    <row r="841" spans="2:3">
      <c r="C841" s="16" t="s">
        <v>2679</v>
      </c>
    </row>
    <row r="842" spans="2:3">
      <c r="C842" s="16" t="s">
        <v>2680</v>
      </c>
    </row>
    <row r="843" spans="2:3">
      <c r="C843" s="16" t="s">
        <v>2681</v>
      </c>
    </row>
    <row r="844" spans="2:3">
      <c r="C844" s="16" t="s">
        <v>2682</v>
      </c>
    </row>
    <row r="845" spans="2:3">
      <c r="C845" s="16" t="s">
        <v>2683</v>
      </c>
    </row>
    <row r="846" spans="2:3">
      <c r="C846" s="16" t="s">
        <v>2684</v>
      </c>
    </row>
    <row r="847" spans="2:3">
      <c r="C847" s="16" t="s">
        <v>2008</v>
      </c>
    </row>
    <row r="848" spans="2:3">
      <c r="C848" s="16" t="s">
        <v>2685</v>
      </c>
    </row>
    <row r="849" spans="3:3">
      <c r="C849" s="16" t="s">
        <v>2686</v>
      </c>
    </row>
    <row r="850" spans="3:3">
      <c r="C850" s="16" t="s">
        <v>2687</v>
      </c>
    </row>
    <row r="851" spans="3:3">
      <c r="C851" s="16" t="s">
        <v>2688</v>
      </c>
    </row>
    <row r="852" spans="3:3">
      <c r="C852" s="16" t="s">
        <v>2689</v>
      </c>
    </row>
    <row r="853" spans="3:3">
      <c r="C853" s="16" t="s">
        <v>2690</v>
      </c>
    </row>
    <row r="854" spans="3:3">
      <c r="C854" s="16" t="s">
        <v>2691</v>
      </c>
    </row>
    <row r="855" spans="3:3">
      <c r="C855" s="16" t="s">
        <v>2692</v>
      </c>
    </row>
    <row r="856" spans="3:3">
      <c r="C856" s="16" t="s">
        <v>2693</v>
      </c>
    </row>
    <row r="857" spans="3:3">
      <c r="C857" s="16" t="s">
        <v>2694</v>
      </c>
    </row>
    <row r="858" spans="3:3">
      <c r="C858" s="16" t="s">
        <v>2695</v>
      </c>
    </row>
    <row r="859" spans="3:3">
      <c r="C859" s="16" t="s">
        <v>2696</v>
      </c>
    </row>
    <row r="860" spans="3:3">
      <c r="C860" s="16" t="s">
        <v>2697</v>
      </c>
    </row>
    <row r="861" spans="3:3">
      <c r="C861" s="16" t="s">
        <v>2698</v>
      </c>
    </row>
    <row r="862" spans="3:3">
      <c r="C862" s="16" t="s">
        <v>2699</v>
      </c>
    </row>
    <row r="863" spans="3:3">
      <c r="C863" s="16" t="s">
        <v>2700</v>
      </c>
    </row>
    <row r="864" spans="3:3">
      <c r="C864" s="16" t="s">
        <v>2701</v>
      </c>
    </row>
    <row r="865" spans="3:3">
      <c r="C865" s="16" t="s">
        <v>2702</v>
      </c>
    </row>
    <row r="866" spans="3:3">
      <c r="C866" s="16" t="s">
        <v>2703</v>
      </c>
    </row>
    <row r="867" spans="3:3">
      <c r="C867" s="16" t="s">
        <v>2704</v>
      </c>
    </row>
    <row r="868" spans="3:3">
      <c r="C868" s="16" t="s">
        <v>2705</v>
      </c>
    </row>
    <row r="869" spans="3:3">
      <c r="C869" s="16" t="s">
        <v>2706</v>
      </c>
    </row>
    <row r="870" spans="3:3">
      <c r="C870" s="16" t="s">
        <v>2707</v>
      </c>
    </row>
    <row r="871" spans="3:3">
      <c r="C871" s="16" t="s">
        <v>2008</v>
      </c>
    </row>
    <row r="872" spans="3:3">
      <c r="C872" s="16" t="s">
        <v>2708</v>
      </c>
    </row>
    <row r="873" spans="3:3">
      <c r="C873" s="16" t="s">
        <v>2709</v>
      </c>
    </row>
    <row r="874" spans="3:3">
      <c r="C874" s="16" t="s">
        <v>2710</v>
      </c>
    </row>
    <row r="875" spans="3:3">
      <c r="C875" s="16" t="s">
        <v>2711</v>
      </c>
    </row>
    <row r="876" spans="3:3">
      <c r="C876" s="16" t="s">
        <v>2712</v>
      </c>
    </row>
    <row r="877" spans="3:3">
      <c r="C877" s="16" t="s">
        <v>2713</v>
      </c>
    </row>
    <row r="878" spans="3:3">
      <c r="C878" s="16" t="s">
        <v>2714</v>
      </c>
    </row>
    <row r="879" spans="3:3">
      <c r="C879" s="16" t="s">
        <v>2715</v>
      </c>
    </row>
    <row r="880" spans="3:3">
      <c r="C880" s="16" t="s">
        <v>2716</v>
      </c>
    </row>
    <row r="881" spans="3:3">
      <c r="C881" s="16" t="s">
        <v>2717</v>
      </c>
    </row>
    <row r="882" spans="3:3">
      <c r="C882" s="16" t="s">
        <v>2718</v>
      </c>
    </row>
    <row r="883" spans="3:3">
      <c r="C883" s="16" t="s">
        <v>2719</v>
      </c>
    </row>
    <row r="884" spans="3:3">
      <c r="C884" s="16" t="s">
        <v>2176</v>
      </c>
    </row>
    <row r="885" spans="3:3">
      <c r="C885" s="16" t="s">
        <v>2720</v>
      </c>
    </row>
    <row r="886" spans="3:3">
      <c r="C886" s="16" t="s">
        <v>2721</v>
      </c>
    </row>
    <row r="887" spans="3:3">
      <c r="C887" s="16" t="s">
        <v>2722</v>
      </c>
    </row>
    <row r="888" spans="3:3">
      <c r="C888" s="16" t="s">
        <v>2723</v>
      </c>
    </row>
    <row r="889" spans="3:3">
      <c r="C889" s="16" t="s">
        <v>2724</v>
      </c>
    </row>
    <row r="890" spans="3:3">
      <c r="C890" s="16" t="s">
        <v>2725</v>
      </c>
    </row>
    <row r="891" spans="3:3">
      <c r="C891" s="16" t="s">
        <v>2726</v>
      </c>
    </row>
    <row r="892" spans="3:3">
      <c r="C892" s="16" t="s">
        <v>2727</v>
      </c>
    </row>
    <row r="893" spans="3:3">
      <c r="C893" s="16" t="s">
        <v>2728</v>
      </c>
    </row>
    <row r="894" spans="3:3">
      <c r="C894" s="16" t="s">
        <v>2729</v>
      </c>
    </row>
    <row r="895" spans="3:3">
      <c r="C895" s="16"/>
    </row>
    <row r="896" spans="3:3">
      <c r="C896" s="16" t="s">
        <v>2730</v>
      </c>
    </row>
    <row r="897" spans="3:3">
      <c r="C897" s="16" t="s">
        <v>2731</v>
      </c>
    </row>
    <row r="898" spans="3:3">
      <c r="C898" s="16"/>
    </row>
    <row r="899" spans="3:3">
      <c r="C899" s="16" t="s">
        <v>2732</v>
      </c>
    </row>
    <row r="900" spans="3:3">
      <c r="C900" s="16" t="s">
        <v>2733</v>
      </c>
    </row>
    <row r="901" spans="3:3">
      <c r="C901" s="16" t="s">
        <v>2734</v>
      </c>
    </row>
    <row r="902" spans="3:3">
      <c r="C902" s="16" t="s">
        <v>2735</v>
      </c>
    </row>
    <row r="903" spans="3:3">
      <c r="C903" s="16" t="s">
        <v>2736</v>
      </c>
    </row>
    <row r="904" spans="3:3">
      <c r="C904" s="16" t="s">
        <v>2737</v>
      </c>
    </row>
    <row r="905" spans="3:3">
      <c r="C905" s="16" t="s">
        <v>2738</v>
      </c>
    </row>
    <row r="906" spans="3:3">
      <c r="C906" s="16" t="s">
        <v>2739</v>
      </c>
    </row>
    <row r="907" spans="3:3">
      <c r="C907" s="16" t="s">
        <v>2740</v>
      </c>
    </row>
    <row r="908" spans="3:3">
      <c r="C908" s="16" t="s">
        <v>2741</v>
      </c>
    </row>
    <row r="909" spans="3:3">
      <c r="C909" s="16" t="s">
        <v>2742</v>
      </c>
    </row>
    <row r="910" spans="3:3">
      <c r="C910" s="16" t="s">
        <v>2743</v>
      </c>
    </row>
    <row r="911" spans="3:3">
      <c r="C911" s="16" t="s">
        <v>2744</v>
      </c>
    </row>
    <row r="912" spans="3:3">
      <c r="C912" s="16" t="s">
        <v>2745</v>
      </c>
    </row>
    <row r="913" spans="3:3">
      <c r="C913" s="16" t="s">
        <v>2746</v>
      </c>
    </row>
    <row r="914" spans="3:3">
      <c r="C914" s="16" t="s">
        <v>2747</v>
      </c>
    </row>
    <row r="915" spans="3:3">
      <c r="C915" s="16" t="s">
        <v>2748</v>
      </c>
    </row>
    <row r="916" spans="3:3">
      <c r="C916" s="16" t="s">
        <v>2749</v>
      </c>
    </row>
    <row r="917" spans="3:3">
      <c r="C917" s="16" t="s">
        <v>2750</v>
      </c>
    </row>
    <row r="918" spans="3:3">
      <c r="C918" s="16" t="s">
        <v>2751</v>
      </c>
    </row>
    <row r="919" spans="3:3">
      <c r="C919" s="16" t="s">
        <v>2752</v>
      </c>
    </row>
    <row r="920" spans="3:3">
      <c r="C920" s="16" t="s">
        <v>2753</v>
      </c>
    </row>
    <row r="921" spans="3:3">
      <c r="C921" s="16" t="s">
        <v>2754</v>
      </c>
    </row>
    <row r="922" spans="3:3">
      <c r="C922" s="16" t="s">
        <v>2071</v>
      </c>
    </row>
    <row r="923" spans="3:3">
      <c r="C923" s="16" t="s">
        <v>2755</v>
      </c>
    </row>
    <row r="924" spans="3:3">
      <c r="C924" s="16" t="s">
        <v>2756</v>
      </c>
    </row>
    <row r="925" spans="3:3">
      <c r="C925" s="16" t="s">
        <v>2757</v>
      </c>
    </row>
    <row r="926" spans="3:3">
      <c r="C926" s="16" t="s">
        <v>2758</v>
      </c>
    </row>
    <row r="927" spans="3:3">
      <c r="C927" s="16" t="s">
        <v>2759</v>
      </c>
    </row>
    <row r="928" spans="3:3">
      <c r="C928" s="16" t="s">
        <v>2760</v>
      </c>
    </row>
    <row r="929" spans="3:3">
      <c r="C929" s="16" t="s">
        <v>2761</v>
      </c>
    </row>
    <row r="930" spans="3:3">
      <c r="C930" s="16" t="s">
        <v>2762</v>
      </c>
    </row>
    <row r="931" spans="3:3">
      <c r="C931" s="16" t="s">
        <v>2763</v>
      </c>
    </row>
    <row r="932" spans="3:3">
      <c r="C932" s="16" t="s">
        <v>2764</v>
      </c>
    </row>
    <row r="933" spans="3:3">
      <c r="C933" s="16" t="s">
        <v>2765</v>
      </c>
    </row>
    <row r="934" spans="3:3">
      <c r="C934" s="16" t="s">
        <v>2766</v>
      </c>
    </row>
    <row r="935" spans="3:3">
      <c r="C935" s="16"/>
    </row>
    <row r="936" spans="3:3">
      <c r="C936" s="16" t="s">
        <v>2767</v>
      </c>
    </row>
    <row r="937" spans="3:3">
      <c r="C937" s="16" t="s">
        <v>2768</v>
      </c>
    </row>
    <row r="938" spans="3:3">
      <c r="C938" s="16"/>
    </row>
    <row r="939" spans="3:3">
      <c r="C939" s="16" t="s">
        <v>2769</v>
      </c>
    </row>
    <row r="940" spans="3:3">
      <c r="C940" s="16" t="s">
        <v>2770</v>
      </c>
    </row>
    <row r="941" spans="3:3">
      <c r="C941" s="16" t="s">
        <v>2771</v>
      </c>
    </row>
    <row r="942" spans="3:3">
      <c r="C942" s="16" t="s">
        <v>2772</v>
      </c>
    </row>
    <row r="943" spans="3:3">
      <c r="C943" s="16" t="s">
        <v>2773</v>
      </c>
    </row>
    <row r="944" spans="3:3">
      <c r="C944" s="16" t="s">
        <v>2774</v>
      </c>
    </row>
    <row r="945" spans="3:3">
      <c r="C945" s="16" t="s">
        <v>2775</v>
      </c>
    </row>
    <row r="946" spans="3:3">
      <c r="C946" s="16" t="s">
        <v>2776</v>
      </c>
    </row>
    <row r="947" spans="3:3">
      <c r="C947" s="16" t="s">
        <v>2777</v>
      </c>
    </row>
    <row r="948" spans="3:3">
      <c r="C948" s="16" t="s">
        <v>2778</v>
      </c>
    </row>
    <row r="949" spans="3:3">
      <c r="C949" s="16" t="s">
        <v>2779</v>
      </c>
    </row>
    <row r="950" spans="3:3">
      <c r="C950" s="16" t="s">
        <v>2780</v>
      </c>
    </row>
    <row r="951" spans="3:3">
      <c r="C951" s="16" t="s">
        <v>2781</v>
      </c>
    </row>
    <row r="952" spans="3:3">
      <c r="C952" s="16" t="s">
        <v>2782</v>
      </c>
    </row>
    <row r="953" spans="3:3">
      <c r="C953" s="16" t="s">
        <v>2783</v>
      </c>
    </row>
    <row r="954" spans="3:3">
      <c r="C954" s="16" t="s">
        <v>2784</v>
      </c>
    </row>
    <row r="955" spans="3:3">
      <c r="C955" s="16" t="s">
        <v>2785</v>
      </c>
    </row>
    <row r="956" spans="3:3">
      <c r="C956" s="16" t="s">
        <v>2786</v>
      </c>
    </row>
    <row r="957" spans="3:3">
      <c r="C957" s="16" t="s">
        <v>2787</v>
      </c>
    </row>
    <row r="958" spans="3:3">
      <c r="C958" s="16" t="s">
        <v>2788</v>
      </c>
    </row>
    <row r="959" spans="3:3">
      <c r="C959" s="16" t="s">
        <v>2789</v>
      </c>
    </row>
    <row r="960" spans="3:3">
      <c r="C960" s="16" t="s">
        <v>2790</v>
      </c>
    </row>
    <row r="961" spans="3:3">
      <c r="C961" s="16" t="s">
        <v>2791</v>
      </c>
    </row>
    <row r="962" spans="3:3">
      <c r="C962" s="16" t="s">
        <v>2792</v>
      </c>
    </row>
    <row r="963" spans="3:3">
      <c r="C963" s="16" t="s">
        <v>2793</v>
      </c>
    </row>
    <row r="964" spans="3:3">
      <c r="C964" s="16"/>
    </row>
    <row r="965" spans="3:3">
      <c r="C965" s="16" t="s">
        <v>2794</v>
      </c>
    </row>
    <row r="966" spans="3:3">
      <c r="C966" s="16" t="s">
        <v>2795</v>
      </c>
    </row>
    <row r="967" spans="3:3">
      <c r="C967" s="16" t="s">
        <v>2796</v>
      </c>
    </row>
    <row r="968" spans="3:3">
      <c r="C968" s="16"/>
    </row>
    <row r="969" spans="3:3">
      <c r="C969" s="16" t="s">
        <v>2797</v>
      </c>
    </row>
    <row r="970" spans="3:3">
      <c r="C970" s="16" t="s">
        <v>2798</v>
      </c>
    </row>
    <row r="971" spans="3:3">
      <c r="C971" s="16" t="s">
        <v>2799</v>
      </c>
    </row>
    <row r="972" spans="3:3">
      <c r="C972" s="16" t="s">
        <v>2176</v>
      </c>
    </row>
    <row r="973" spans="3:3">
      <c r="C973" s="16" t="s">
        <v>2800</v>
      </c>
    </row>
    <row r="974" spans="3:3">
      <c r="C974" s="16" t="s">
        <v>2801</v>
      </c>
    </row>
    <row r="975" spans="3:3">
      <c r="C975" s="16" t="s">
        <v>2802</v>
      </c>
    </row>
    <row r="976" spans="3:3">
      <c r="C976" s="16" t="s">
        <v>2803</v>
      </c>
    </row>
    <row r="977" spans="3:3">
      <c r="C977" s="16" t="s">
        <v>2804</v>
      </c>
    </row>
    <row r="978" spans="3:3">
      <c r="C978" s="16" t="s">
        <v>2805</v>
      </c>
    </row>
    <row r="979" spans="3:3">
      <c r="C979" s="16" t="s">
        <v>2806</v>
      </c>
    </row>
    <row r="980" spans="3:3">
      <c r="C980" s="16" t="s">
        <v>2807</v>
      </c>
    </row>
    <row r="981" spans="3:3">
      <c r="C981" s="16" t="s">
        <v>2808</v>
      </c>
    </row>
    <row r="982" spans="3:3">
      <c r="C982" s="16" t="s">
        <v>2176</v>
      </c>
    </row>
    <row r="983" spans="3:3">
      <c r="C983" s="16" t="s">
        <v>2809</v>
      </c>
    </row>
    <row r="984" spans="3:3">
      <c r="C984" s="16" t="s">
        <v>2810</v>
      </c>
    </row>
    <row r="985" spans="3:3">
      <c r="C985" s="16" t="s">
        <v>2811</v>
      </c>
    </row>
    <row r="986" spans="3:3">
      <c r="C986" s="16" t="s">
        <v>2812</v>
      </c>
    </row>
    <row r="987" spans="3:3">
      <c r="C987" s="16" t="s">
        <v>2813</v>
      </c>
    </row>
    <row r="988" spans="3:3">
      <c r="C988" s="16" t="s">
        <v>2814</v>
      </c>
    </row>
    <row r="989" spans="3:3">
      <c r="C989" s="16" t="s">
        <v>2815</v>
      </c>
    </row>
    <row r="990" spans="3:3">
      <c r="C990" s="16" t="s">
        <v>2816</v>
      </c>
    </row>
    <row r="991" spans="3:3">
      <c r="C991" s="16" t="s">
        <v>2817</v>
      </c>
    </row>
    <row r="992" spans="3:3">
      <c r="C992" s="16" t="s">
        <v>2818</v>
      </c>
    </row>
    <row r="993" spans="3:3">
      <c r="C993" s="16" t="s">
        <v>2819</v>
      </c>
    </row>
    <row r="994" spans="3:3">
      <c r="C994" s="16" t="s">
        <v>2820</v>
      </c>
    </row>
    <row r="995" spans="3:3">
      <c r="C995" s="16" t="s">
        <v>2821</v>
      </c>
    </row>
    <row r="996" spans="3:3">
      <c r="C996" s="16" t="s">
        <v>2822</v>
      </c>
    </row>
    <row r="997" spans="3:3">
      <c r="C997" s="16" t="s">
        <v>2008</v>
      </c>
    </row>
    <row r="998" spans="3:3">
      <c r="C998" s="16" t="s">
        <v>2823</v>
      </c>
    </row>
    <row r="999" spans="3:3">
      <c r="C999" s="16" t="s">
        <v>2824</v>
      </c>
    </row>
    <row r="1000" spans="3:3">
      <c r="C1000" s="16" t="s">
        <v>2825</v>
      </c>
    </row>
    <row r="1001" spans="3:3">
      <c r="C1001" s="16"/>
    </row>
    <row r="1002" spans="3:3">
      <c r="C1002" s="16" t="s">
        <v>2826</v>
      </c>
    </row>
    <row r="1003" spans="3:3">
      <c r="C1003" s="16" t="s">
        <v>2827</v>
      </c>
    </row>
    <row r="1004" spans="3:3">
      <c r="C1004" s="16"/>
    </row>
    <row r="1005" spans="3:3">
      <c r="C1005" s="16" t="s">
        <v>2828</v>
      </c>
    </row>
    <row r="1006" spans="3:3">
      <c r="C1006" s="16" t="s">
        <v>2829</v>
      </c>
    </row>
    <row r="1007" spans="3:3">
      <c r="C1007" s="16" t="s">
        <v>2830</v>
      </c>
    </row>
    <row r="1008" spans="3:3">
      <c r="C1008" s="16" t="s">
        <v>2831</v>
      </c>
    </row>
    <row r="1009" spans="3:3">
      <c r="C1009" s="16" t="s">
        <v>2832</v>
      </c>
    </row>
    <row r="1010" spans="3:3">
      <c r="C1010" s="16" t="s">
        <v>2753</v>
      </c>
    </row>
    <row r="1011" spans="3:3">
      <c r="C1011" s="16" t="s">
        <v>2833</v>
      </c>
    </row>
    <row r="1012" spans="3:3">
      <c r="C1012" s="16" t="s">
        <v>2771</v>
      </c>
    </row>
    <row r="1013" spans="3:3">
      <c r="C1013" s="16" t="s">
        <v>2834</v>
      </c>
    </row>
    <row r="1014" spans="3:3">
      <c r="C1014" s="16" t="s">
        <v>2835</v>
      </c>
    </row>
    <row r="1015" spans="3:3">
      <c r="C1015" s="16" t="s">
        <v>2836</v>
      </c>
    </row>
    <row r="1016" spans="3:3">
      <c r="C1016" s="16" t="s">
        <v>2837</v>
      </c>
    </row>
    <row r="1017" spans="3:3">
      <c r="C1017" s="16" t="s">
        <v>2838</v>
      </c>
    </row>
    <row r="1018" spans="3:3">
      <c r="C1018" s="16" t="s">
        <v>2839</v>
      </c>
    </row>
    <row r="1019" spans="3:3">
      <c r="C1019" s="16" t="s">
        <v>2840</v>
      </c>
    </row>
    <row r="1020" spans="3:3">
      <c r="C1020" s="16" t="s">
        <v>2841</v>
      </c>
    </row>
    <row r="1021" spans="3:3">
      <c r="C1021" s="16" t="s">
        <v>2842</v>
      </c>
    </row>
    <row r="1022" spans="3:3">
      <c r="C1022" s="16" t="s">
        <v>2843</v>
      </c>
    </row>
    <row r="1023" spans="3:3">
      <c r="C1023" s="16" t="s">
        <v>2844</v>
      </c>
    </row>
    <row r="1024" spans="3:3">
      <c r="C1024" s="16" t="s">
        <v>2845</v>
      </c>
    </row>
    <row r="1025" spans="3:3">
      <c r="C1025" s="16" t="s">
        <v>2846</v>
      </c>
    </row>
    <row r="1026" spans="3:3">
      <c r="C1026" s="16" t="s">
        <v>2847</v>
      </c>
    </row>
    <row r="1027" spans="3:3">
      <c r="C1027" s="16" t="s">
        <v>2848</v>
      </c>
    </row>
    <row r="1028" spans="3:3">
      <c r="C1028" s="16" t="s">
        <v>2008</v>
      </c>
    </row>
    <row r="1029" spans="3:3">
      <c r="C1029" s="16" t="s">
        <v>2849</v>
      </c>
    </row>
    <row r="1030" spans="3:3">
      <c r="C1030" s="16" t="s">
        <v>2850</v>
      </c>
    </row>
    <row r="1031" spans="3:3">
      <c r="C1031" s="16" t="s">
        <v>2851</v>
      </c>
    </row>
    <row r="1032" spans="3:3">
      <c r="C1032" s="16"/>
    </row>
    <row r="1033" spans="3:3">
      <c r="C1033" s="16" t="s">
        <v>2852</v>
      </c>
    </row>
    <row r="1034" spans="3:3">
      <c r="C1034" s="16" t="s">
        <v>2853</v>
      </c>
    </row>
    <row r="1035" spans="3:3">
      <c r="C1035" s="16" t="s">
        <v>2854</v>
      </c>
    </row>
    <row r="1036" spans="3:3">
      <c r="C1036" s="16"/>
    </row>
    <row r="1037" spans="3:3">
      <c r="C1037" s="16" t="s">
        <v>2855</v>
      </c>
    </row>
    <row r="1038" spans="3:3">
      <c r="C1038" s="16">
        <f> −lost·(1 − winback) ≤ 0. Сумма монотонно не растёт, стартует с tam.</f>
        <v>0</v>
      </c>
    </row>
    <row r="1039" spans="3:3">
      <c r="C1039" s="16" t="s">
        <v>2856</v>
      </c>
    </row>
    <row r="1040" spans="3:3">
      <c r="C1040" s="16" t="s">
        <v>2857</v>
      </c>
    </row>
    <row r="1041" spans="3:3">
      <c r="C1041" s="16" t="s">
        <v>2858</v>
      </c>
    </row>
    <row r="1042" spans="3:3">
      <c r="C1042" s="16" t="s">
        <v>2859</v>
      </c>
    </row>
    <row r="1043" spans="3:3">
      <c r="C1043" s="16" t="s">
        <v>2754</v>
      </c>
    </row>
    <row r="1044" spans="3:3">
      <c r="C1044" s="16" t="s">
        <v>2071</v>
      </c>
    </row>
    <row r="1045" spans="3:3">
      <c r="C1045" s="16" t="s">
        <v>2860</v>
      </c>
    </row>
    <row r="1046" spans="3:3">
      <c r="C1046" s="16" t="s">
        <v>2861</v>
      </c>
    </row>
    <row r="1047" spans="3:3">
      <c r="C1047" s="16" t="s">
        <v>2862</v>
      </c>
    </row>
    <row r="1048" spans="3:3">
      <c r="C1048" s="16" t="s">
        <v>2863</v>
      </c>
    </row>
    <row r="1049" spans="3:3">
      <c r="C1049" s="16" t="s">
        <v>2864</v>
      </c>
    </row>
    <row r="1050" spans="3:3">
      <c r="C1050" s="16" t="s">
        <v>2865</v>
      </c>
    </row>
    <row r="1051" spans="3:3">
      <c r="C1051" s="16" t="s">
        <v>2866</v>
      </c>
    </row>
    <row r="1052" spans="3:3">
      <c r="C1052" s="16" t="s">
        <v>2867</v>
      </c>
    </row>
    <row r="1053" spans="3:3">
      <c r="C1053" s="16" t="s">
        <v>2868</v>
      </c>
    </row>
    <row r="1054" spans="3:3">
      <c r="C1054" s="16" t="s">
        <v>2869</v>
      </c>
    </row>
    <row r="1055" spans="3:3">
      <c r="C1055" s="16"/>
    </row>
    <row r="1056" spans="3:3">
      <c r="C1056" s="16" t="s">
        <v>2870</v>
      </c>
    </row>
    <row r="1057" spans="3:3">
      <c r="C1057" s="16"/>
    </row>
    <row r="1058" spans="3:3">
      <c r="C1058" s="16" t="s">
        <v>2871</v>
      </c>
    </row>
    <row r="1059" spans="3:3">
      <c r="C1059" s="16" t="s">
        <v>2872</v>
      </c>
    </row>
    <row r="1060" spans="3:3">
      <c r="C1060" s="16" t="s">
        <v>2873</v>
      </c>
    </row>
    <row r="1061" spans="3:3">
      <c r="C1061" s="16" t="s">
        <v>2874</v>
      </c>
    </row>
    <row r="1062" spans="3:3">
      <c r="C1062" s="16" t="s">
        <v>2875</v>
      </c>
    </row>
    <row r="1063" spans="3:3">
      <c r="C1063" s="16" t="s">
        <v>2876</v>
      </c>
    </row>
    <row r="1064" spans="3:3">
      <c r="C1064" s="16" t="s">
        <v>2877</v>
      </c>
    </row>
    <row r="1065" spans="3:3">
      <c r="C1065" s="16" t="s">
        <v>2878</v>
      </c>
    </row>
    <row r="1066" spans="3:3">
      <c r="C1066" s="16" t="s">
        <v>2753</v>
      </c>
    </row>
    <row r="1067" spans="3:3">
      <c r="C1067" s="16" t="s">
        <v>2799</v>
      </c>
    </row>
    <row r="1068" spans="3:3">
      <c r="C1068" s="16" t="s">
        <v>2176</v>
      </c>
    </row>
    <row r="1069" spans="3:3">
      <c r="C1069" s="16" t="s">
        <v>2879</v>
      </c>
    </row>
    <row r="1070" spans="3:3">
      <c r="C1070" s="16" t="s">
        <v>2880</v>
      </c>
    </row>
    <row r="1071" spans="3:3">
      <c r="C1071" s="16" t="s">
        <v>2881</v>
      </c>
    </row>
    <row r="1072" spans="3:3">
      <c r="C1072" s="16" t="s">
        <v>2882</v>
      </c>
    </row>
    <row r="1073" spans="3:3">
      <c r="C1073" s="16" t="s">
        <v>2883</v>
      </c>
    </row>
    <row r="1074" spans="3:3">
      <c r="C1074" s="16" t="s">
        <v>2884</v>
      </c>
    </row>
    <row r="1075" spans="3:3">
      <c r="C1075" s="16" t="s">
        <v>2885</v>
      </c>
    </row>
    <row r="1076" spans="3:3">
      <c r="C1076" s="16" t="s">
        <v>2886</v>
      </c>
    </row>
    <row r="1077" spans="3:3">
      <c r="C1077" s="16" t="s">
        <v>2887</v>
      </c>
    </row>
    <row r="1078" spans="3:3">
      <c r="C1078" s="16"/>
    </row>
    <row r="1079" spans="3:3">
      <c r="C1079" s="16" t="s">
        <v>2888</v>
      </c>
    </row>
    <row r="1080" spans="3:3">
      <c r="C1080" s="16" t="s">
        <v>2889</v>
      </c>
    </row>
    <row r="1081" spans="3:3">
      <c r="C1081" s="16" t="s">
        <v>2890</v>
      </c>
    </row>
    <row r="1082" spans="3:3">
      <c r="C1082" s="16"/>
    </row>
    <row r="1083" spans="3:3">
      <c r="C1083" s="16" t="s">
        <v>2891</v>
      </c>
    </row>
    <row r="1084" spans="3:3">
      <c r="C1084" s="16" t="s">
        <v>2892</v>
      </c>
    </row>
    <row r="1085" spans="3:3">
      <c r="C1085" s="16" t="s">
        <v>2176</v>
      </c>
    </row>
    <row r="1086" spans="3:3">
      <c r="C1086" s="16" t="s">
        <v>2893</v>
      </c>
    </row>
    <row r="1087" spans="3:3">
      <c r="C1087" s="16" t="s">
        <v>2894</v>
      </c>
    </row>
    <row r="1088" spans="3:3">
      <c r="C1088" s="16" t="s">
        <v>2895</v>
      </c>
    </row>
    <row r="1089" spans="3:3">
      <c r="C1089" s="16" t="s">
        <v>2896</v>
      </c>
    </row>
    <row r="1090" spans="3:3">
      <c r="C1090" s="16" t="s">
        <v>2897</v>
      </c>
    </row>
    <row r="1091" spans="3:3">
      <c r="C1091" s="16" t="s">
        <v>2898</v>
      </c>
    </row>
    <row r="1092" spans="3:3">
      <c r="C1092" s="16" t="s">
        <v>2899</v>
      </c>
    </row>
    <row r="1093" spans="3:3">
      <c r="C1093" s="16" t="s">
        <v>2900</v>
      </c>
    </row>
    <row r="1094" spans="3:3">
      <c r="C1094" s="16" t="s">
        <v>2901</v>
      </c>
    </row>
    <row r="1095" spans="3:3">
      <c r="C1095" s="16" t="s">
        <v>2902</v>
      </c>
    </row>
    <row r="1096" spans="3:3">
      <c r="C1096" s="16" t="s">
        <v>2903</v>
      </c>
    </row>
    <row r="1097" spans="3:3">
      <c r="C1097" s="16" t="s">
        <v>2904</v>
      </c>
    </row>
    <row r="1098" spans="3:3">
      <c r="C1098" s="16" t="s">
        <v>2905</v>
      </c>
    </row>
    <row r="1099" spans="3:3">
      <c r="C1099" s="16" t="s">
        <v>2906</v>
      </c>
    </row>
    <row r="1100" spans="3:3">
      <c r="C1100" s="16" t="s">
        <v>2907</v>
      </c>
    </row>
    <row r="1101" spans="3:3">
      <c r="C1101" s="16" t="s">
        <v>2908</v>
      </c>
    </row>
    <row r="1102" spans="3:3">
      <c r="C1102" s="16" t="s">
        <v>2909</v>
      </c>
    </row>
    <row r="1103" spans="3:3">
      <c r="C1103" s="16" t="s">
        <v>2910</v>
      </c>
    </row>
    <row r="1104" spans="3:3">
      <c r="C1104" s="16" t="s">
        <v>2911</v>
      </c>
    </row>
    <row r="1105" spans="3:3">
      <c r="C1105" s="16" t="s">
        <v>2912</v>
      </c>
    </row>
    <row r="1106" spans="3:3">
      <c r="C1106" s="16" t="s">
        <v>2913</v>
      </c>
    </row>
    <row r="1107" spans="3:3">
      <c r="C1107" s="16" t="s">
        <v>2914</v>
      </c>
    </row>
    <row r="1108" spans="3:3">
      <c r="C1108" s="16" t="s">
        <v>2915</v>
      </c>
    </row>
    <row r="1109" spans="3:3">
      <c r="C1109" s="16" t="s">
        <v>2916</v>
      </c>
    </row>
    <row r="1110" spans="3:3">
      <c r="C1110" s="16" t="s">
        <v>2917</v>
      </c>
    </row>
    <row r="1111" spans="3:3">
      <c r="C1111" s="16" t="s">
        <v>2918</v>
      </c>
    </row>
    <row r="1112" spans="3:3">
      <c r="C1112" s="16" t="s">
        <v>2919</v>
      </c>
    </row>
    <row r="1113" spans="3:3">
      <c r="C1113" s="16" t="s">
        <v>2920</v>
      </c>
    </row>
    <row r="1114" spans="3:3">
      <c r="C1114" s="16" t="s">
        <v>2921</v>
      </c>
    </row>
    <row r="1115" spans="3:3">
      <c r="C1115" s="16" t="s">
        <v>2922</v>
      </c>
    </row>
    <row r="1116" spans="3:3">
      <c r="C1116" s="16" t="s">
        <v>2923</v>
      </c>
    </row>
    <row r="1117" spans="3:3">
      <c r="C1117" s="16" t="s">
        <v>2924</v>
      </c>
    </row>
    <row r="1118" spans="3:3">
      <c r="C1118" s="16" t="s">
        <v>2925</v>
      </c>
    </row>
    <row r="1119" spans="3:3">
      <c r="C1119" s="16" t="s">
        <v>2926</v>
      </c>
    </row>
    <row r="1120" spans="3:3">
      <c r="C1120" s="16" t="s">
        <v>2927</v>
      </c>
    </row>
    <row r="1121" spans="3:3">
      <c r="C1121" s="16" t="s">
        <v>2928</v>
      </c>
    </row>
    <row r="1122" spans="3:3">
      <c r="C1122" s="16" t="s">
        <v>2008</v>
      </c>
    </row>
    <row r="1123" spans="3:3">
      <c r="C1123" s="16" t="s">
        <v>2929</v>
      </c>
    </row>
    <row r="1124" spans="3:3">
      <c r="C1124" s="16" t="s">
        <v>2930</v>
      </c>
    </row>
    <row r="1125" spans="3:3">
      <c r="C1125" s="16" t="s">
        <v>2931</v>
      </c>
    </row>
    <row r="1126" spans="3:3">
      <c r="C1126" s="16" t="s">
        <v>2932</v>
      </c>
    </row>
    <row r="1127" spans="3:3">
      <c r="C1127" s="16" t="s">
        <v>2933</v>
      </c>
    </row>
    <row r="1128" spans="3:3">
      <c r="C1128" s="16" t="s">
        <v>2934</v>
      </c>
    </row>
    <row r="1129" spans="3:3">
      <c r="C1129" s="16" t="s">
        <v>2935</v>
      </c>
    </row>
    <row r="1130" spans="3:3">
      <c r="C1130" s="16" t="s">
        <v>2176</v>
      </c>
    </row>
    <row r="1131" spans="3:3">
      <c r="C1131" s="16" t="s">
        <v>2936</v>
      </c>
    </row>
    <row r="1132" spans="3:3">
      <c r="C1132" s="16" t="s">
        <v>2937</v>
      </c>
    </row>
    <row r="1133" spans="3:3">
      <c r="C1133" s="16" t="s">
        <v>2938</v>
      </c>
    </row>
    <row r="1134" spans="3:3">
      <c r="C1134" s="16" t="s">
        <v>2939</v>
      </c>
    </row>
    <row r="1135" spans="3:3">
      <c r="C1135" s="16" t="s">
        <v>2940</v>
      </c>
    </row>
    <row r="1136" spans="3:3">
      <c r="C1136" s="16" t="s">
        <v>2941</v>
      </c>
    </row>
    <row r="1137" spans="3:3">
      <c r="C1137" s="16" t="s">
        <v>2942</v>
      </c>
    </row>
    <row r="1138" spans="3:3">
      <c r="C1138" s="16" t="s">
        <v>2943</v>
      </c>
    </row>
    <row r="1139" spans="3:3">
      <c r="C1139" s="16" t="s">
        <v>2944</v>
      </c>
    </row>
    <row r="1140" spans="3:3">
      <c r="C1140" s="16" t="s">
        <v>2945</v>
      </c>
    </row>
    <row r="1141" spans="3:3">
      <c r="C1141" s="16" t="s">
        <v>2946</v>
      </c>
    </row>
    <row r="1142" spans="3:3">
      <c r="C1142" s="16" t="s">
        <v>2947</v>
      </c>
    </row>
    <row r="1143" spans="3:3">
      <c r="C1143" s="16" t="s">
        <v>2948</v>
      </c>
    </row>
    <row r="1144" spans="3:3">
      <c r="C1144" s="16" t="s">
        <v>2949</v>
      </c>
    </row>
    <row r="1145" spans="3:3">
      <c r="C1145" s="16" t="s">
        <v>2950</v>
      </c>
    </row>
    <row r="1146" spans="3:3">
      <c r="C1146" s="16" t="s">
        <v>2951</v>
      </c>
    </row>
    <row r="1147" spans="3:3">
      <c r="C1147" s="16" t="s">
        <v>2952</v>
      </c>
    </row>
    <row r="1148" spans="3:3">
      <c r="C1148" s="16" t="s">
        <v>2953</v>
      </c>
    </row>
    <row r="1149" spans="3:3">
      <c r="C1149" s="16" t="s">
        <v>2954</v>
      </c>
    </row>
    <row r="1150" spans="3:3">
      <c r="C1150" s="16" t="s">
        <v>2955</v>
      </c>
    </row>
    <row r="1151" spans="3:3">
      <c r="C1151" s="16" t="s">
        <v>2956</v>
      </c>
    </row>
    <row r="1152" spans="3:3">
      <c r="C1152" s="16" t="s">
        <v>2957</v>
      </c>
    </row>
    <row r="1153" spans="3:3">
      <c r="C1153" s="16" t="s">
        <v>2958</v>
      </c>
    </row>
    <row r="1154" spans="3:3">
      <c r="C1154" s="16" t="s">
        <v>2959</v>
      </c>
    </row>
    <row r="1155" spans="3:3">
      <c r="C1155" s="16" t="s">
        <v>2960</v>
      </c>
    </row>
    <row r="1156" spans="3:3">
      <c r="C1156" s="16" t="s">
        <v>2961</v>
      </c>
    </row>
    <row r="1157" spans="3:3">
      <c r="C1157" s="16" t="s">
        <v>2962</v>
      </c>
    </row>
    <row r="1158" spans="3:3">
      <c r="C1158" s="16" t="s">
        <v>2963</v>
      </c>
    </row>
    <row r="1159" spans="3:3">
      <c r="C1159" s="16" t="s">
        <v>2964</v>
      </c>
    </row>
    <row r="1160" spans="3:3">
      <c r="C1160" s="16" t="s">
        <v>2965</v>
      </c>
    </row>
    <row r="1161" spans="3:3">
      <c r="C1161" s="16" t="s">
        <v>2966</v>
      </c>
    </row>
    <row r="1162" spans="3:3">
      <c r="C1162" s="16" t="s">
        <v>2967</v>
      </c>
    </row>
    <row r="1163" spans="3:3">
      <c r="C1163" s="16" t="s">
        <v>2968</v>
      </c>
    </row>
    <row r="1164" spans="3:3">
      <c r="C1164" s="16" t="s">
        <v>2969</v>
      </c>
    </row>
    <row r="1165" spans="3:3">
      <c r="C1165" s="16" t="s">
        <v>2970</v>
      </c>
    </row>
    <row r="1166" spans="3:3">
      <c r="C1166" s="16" t="s">
        <v>2971</v>
      </c>
    </row>
    <row r="1167" spans="3:3">
      <c r="C1167" s="16" t="s">
        <v>2972</v>
      </c>
    </row>
    <row r="1168" spans="3:3">
      <c r="C1168" s="16" t="s">
        <v>2973</v>
      </c>
    </row>
    <row r="1169" spans="3:3">
      <c r="C1169" s="16" t="s">
        <v>2974</v>
      </c>
    </row>
    <row r="1170" spans="3:3">
      <c r="C1170" s="16" t="s">
        <v>2975</v>
      </c>
    </row>
    <row r="1171" spans="3:3">
      <c r="C1171" s="16" t="s">
        <v>2976</v>
      </c>
    </row>
    <row r="1172" spans="3:3">
      <c r="C1172" s="16" t="s">
        <v>2977</v>
      </c>
    </row>
    <row r="1173" spans="3:3">
      <c r="C1173" s="16" t="s">
        <v>2978</v>
      </c>
    </row>
    <row r="1174" spans="3:3">
      <c r="C1174" s="16" t="s">
        <v>2979</v>
      </c>
    </row>
    <row r="1175" spans="3:3">
      <c r="C1175" s="16" t="s">
        <v>2980</v>
      </c>
    </row>
    <row r="1176" spans="3:3">
      <c r="C1176" s="16" t="s">
        <v>2981</v>
      </c>
    </row>
    <row r="1177" spans="3:3">
      <c r="C1177" s="16" t="s">
        <v>2982</v>
      </c>
    </row>
    <row r="1178" spans="3:3">
      <c r="C1178" s="16" t="s">
        <v>2983</v>
      </c>
    </row>
    <row r="1179" spans="3:3">
      <c r="C1179" s="16" t="s">
        <v>2984</v>
      </c>
    </row>
    <row r="1180" spans="3:3">
      <c r="C1180" s="16" t="s">
        <v>2985</v>
      </c>
    </row>
    <row r="1181" spans="3:3">
      <c r="C1181" s="16" t="s">
        <v>2986</v>
      </c>
    </row>
    <row r="1182" spans="3:3">
      <c r="C1182" s="16" t="s">
        <v>2987</v>
      </c>
    </row>
    <row r="1183" spans="3:3">
      <c r="C1183" s="16" t="s">
        <v>2988</v>
      </c>
    </row>
    <row r="1184" spans="3:3">
      <c r="C1184" s="16" t="s">
        <v>2176</v>
      </c>
    </row>
    <row r="1185" spans="3:3">
      <c r="C1185" s="16" t="s">
        <v>2989</v>
      </c>
    </row>
    <row r="1186" spans="3:3">
      <c r="C1186" s="16" t="s">
        <v>2990</v>
      </c>
    </row>
    <row r="1187" spans="3:3">
      <c r="C1187" s="16" t="s">
        <v>2991</v>
      </c>
    </row>
    <row r="1188" spans="3:3">
      <c r="C1188" s="16" t="s">
        <v>2992</v>
      </c>
    </row>
    <row r="1189" spans="3:3">
      <c r="C1189" s="16" t="s">
        <v>2993</v>
      </c>
    </row>
    <row r="1190" spans="3:3">
      <c r="C1190" s="16" t="s">
        <v>2994</v>
      </c>
    </row>
    <row r="1191" spans="3:3">
      <c r="C1191" s="16" t="s">
        <v>2995</v>
      </c>
    </row>
    <row r="1192" spans="3:3">
      <c r="C1192" s="16" t="s">
        <v>2996</v>
      </c>
    </row>
    <row r="1193" spans="3:3">
      <c r="C1193" s="16" t="s">
        <v>2997</v>
      </c>
    </row>
    <row r="1194" spans="3:3">
      <c r="C1194" s="16" t="s">
        <v>2998</v>
      </c>
    </row>
    <row r="1195" spans="3:3">
      <c r="C1195" s="16" t="s">
        <v>2999</v>
      </c>
    </row>
    <row r="1196" spans="3:3">
      <c r="C1196" s="16" t="s">
        <v>3000</v>
      </c>
    </row>
    <row r="1197" spans="3:3">
      <c r="C1197" s="16" t="s">
        <v>3001</v>
      </c>
    </row>
    <row r="1198" spans="3:3">
      <c r="C1198" s="16" t="s">
        <v>3002</v>
      </c>
    </row>
    <row r="1199" spans="3:3">
      <c r="C1199" s="16" t="s">
        <v>3003</v>
      </c>
    </row>
    <row r="1200" spans="3:3">
      <c r="C1200" s="16" t="s">
        <v>3004</v>
      </c>
    </row>
    <row r="1201" spans="3:3">
      <c r="C1201" s="16" t="s">
        <v>3005</v>
      </c>
    </row>
    <row r="1202" spans="3:3">
      <c r="C1202" s="16" t="s">
        <v>3006</v>
      </c>
    </row>
    <row r="1203" spans="3:3">
      <c r="C1203" s="16" t="s">
        <v>3007</v>
      </c>
    </row>
    <row r="1204" spans="3:3">
      <c r="C1204" s="16" t="s">
        <v>3008</v>
      </c>
    </row>
    <row r="1205" spans="3:3">
      <c r="C1205" s="16" t="s">
        <v>3009</v>
      </c>
    </row>
    <row r="1206" spans="3:3">
      <c r="C1206" s="16" t="s">
        <v>3010</v>
      </c>
    </row>
    <row r="1207" spans="3:3">
      <c r="C1207" s="16" t="s">
        <v>3011</v>
      </c>
    </row>
    <row r="1208" spans="3:3">
      <c r="C1208" s="16" t="s">
        <v>3012</v>
      </c>
    </row>
    <row r="1209" spans="3:3">
      <c r="C1209" s="16" t="s">
        <v>3013</v>
      </c>
    </row>
    <row r="1210" spans="3:3">
      <c r="C1210" s="16" t="s">
        <v>2008</v>
      </c>
    </row>
    <row r="1211" spans="3:3">
      <c r="C1211" s="16" t="s">
        <v>3014</v>
      </c>
    </row>
    <row r="1212" spans="3:3">
      <c r="C1212" s="16" t="s">
        <v>3015</v>
      </c>
    </row>
    <row r="1213" spans="3:3">
      <c r="C1213" s="16" t="s">
        <v>3016</v>
      </c>
    </row>
    <row r="1214" spans="3:3">
      <c r="C1214" s="16" t="s">
        <v>3017</v>
      </c>
    </row>
    <row r="1215" spans="3:3">
      <c r="C1215" s="16" t="s">
        <v>3018</v>
      </c>
    </row>
    <row r="1216" spans="3:3">
      <c r="C1216" s="16" t="s">
        <v>3019</v>
      </c>
    </row>
    <row r="1217" spans="3:3">
      <c r="C1217" s="16" t="s">
        <v>3020</v>
      </c>
    </row>
    <row r="1218" spans="3:3">
      <c r="C1218" s="16" t="s">
        <v>3021</v>
      </c>
    </row>
    <row r="1219" spans="3:3">
      <c r="C1219" s="16" t="s">
        <v>3022</v>
      </c>
    </row>
    <row r="1220" spans="3:3">
      <c r="C1220" s="16" t="s">
        <v>3023</v>
      </c>
    </row>
    <row r="1221" spans="3:3">
      <c r="C1221" s="16" t="s">
        <v>3024</v>
      </c>
    </row>
    <row r="1222" spans="3:3">
      <c r="C1222" s="16" t="s">
        <v>3025</v>
      </c>
    </row>
    <row r="1223" spans="3:3">
      <c r="C1223" s="16" t="s">
        <v>3026</v>
      </c>
    </row>
    <row r="1224" spans="3:3">
      <c r="C1224" s="16" t="s">
        <v>3027</v>
      </c>
    </row>
    <row r="1225" spans="3:3">
      <c r="C1225" s="16" t="s">
        <v>3028</v>
      </c>
    </row>
    <row r="1226" spans="3:3">
      <c r="C1226" s="16" t="s">
        <v>3029</v>
      </c>
    </row>
    <row r="1227" spans="3:3">
      <c r="C1227" s="16" t="s">
        <v>3030</v>
      </c>
    </row>
    <row r="1228" spans="3:3">
      <c r="C1228" s="16" t="s">
        <v>2753</v>
      </c>
    </row>
    <row r="1229" spans="3:3">
      <c r="C1229" s="16" t="s">
        <v>3031</v>
      </c>
    </row>
    <row r="1230" spans="3:3">
      <c r="C1230" s="16" t="s">
        <v>2176</v>
      </c>
    </row>
    <row r="1231" spans="3:3">
      <c r="C1231" s="16" t="s">
        <v>3032</v>
      </c>
    </row>
    <row r="1232" spans="3:3">
      <c r="C1232" s="16" t="s">
        <v>3033</v>
      </c>
    </row>
    <row r="1233" spans="3:3">
      <c r="C1233" s="16" t="s">
        <v>3034</v>
      </c>
    </row>
    <row r="1234" spans="3:3">
      <c r="C1234" s="16" t="s">
        <v>3035</v>
      </c>
    </row>
    <row r="1235" spans="3:3">
      <c r="C1235" s="16" t="s">
        <v>3036</v>
      </c>
    </row>
    <row r="1236" spans="3:3">
      <c r="C1236" s="16" t="s">
        <v>3037</v>
      </c>
    </row>
    <row r="1237" spans="3:3">
      <c r="C1237" s="16" t="s">
        <v>3038</v>
      </c>
    </row>
    <row r="1238" spans="3:3">
      <c r="C1238" s="16" t="s">
        <v>3039</v>
      </c>
    </row>
    <row r="1239" spans="3:3">
      <c r="C1239" s="16" t="s">
        <v>3040</v>
      </c>
    </row>
    <row r="1240" spans="3:3">
      <c r="C1240" s="16" t="s">
        <v>3041</v>
      </c>
    </row>
    <row r="1241" spans="3:3">
      <c r="C1241" s="16" t="s">
        <v>3042</v>
      </c>
    </row>
    <row r="1242" spans="3:3">
      <c r="C1242" s="16" t="s">
        <v>3043</v>
      </c>
    </row>
    <row r="1243" spans="3:3">
      <c r="C1243" s="16" t="s">
        <v>3044</v>
      </c>
    </row>
    <row r="1244" spans="3:3">
      <c r="C1244" s="16" t="s">
        <v>3045</v>
      </c>
    </row>
    <row r="1245" spans="3:3">
      <c r="C1245" s="16" t="s">
        <v>3046</v>
      </c>
    </row>
    <row r="1246" spans="3:3">
      <c r="C1246" s="16" t="s">
        <v>3047</v>
      </c>
    </row>
    <row r="1247" spans="3:3">
      <c r="C1247" s="16" t="s">
        <v>3048</v>
      </c>
    </row>
    <row r="1248" spans="3:3">
      <c r="C1248" s="16" t="s">
        <v>3049</v>
      </c>
    </row>
    <row r="1249" spans="3:3">
      <c r="C1249" s="16" t="s">
        <v>3050</v>
      </c>
    </row>
    <row r="1250" spans="3:3">
      <c r="C1250" s="16" t="s">
        <v>3051</v>
      </c>
    </row>
    <row r="1251" spans="3:3">
      <c r="C1251" s="16"/>
    </row>
    <row r="1252" spans="3:3">
      <c r="C1252" s="16" t="s">
        <v>3052</v>
      </c>
    </row>
    <row r="1253" spans="3:3">
      <c r="C1253" s="16" t="s">
        <v>3053</v>
      </c>
    </row>
    <row r="1254" spans="3:3">
      <c r="C1254" s="16" t="s">
        <v>3054</v>
      </c>
    </row>
    <row r="1255" spans="3:3">
      <c r="C1255" s="16" t="s">
        <v>2889</v>
      </c>
    </row>
    <row r="1256" spans="3:3">
      <c r="C1256" s="16" t="s">
        <v>3055</v>
      </c>
    </row>
    <row r="1257" spans="3:3">
      <c r="C1257" s="16"/>
    </row>
    <row r="1258" spans="3:3">
      <c r="C1258" s="16" t="s">
        <v>3056</v>
      </c>
    </row>
    <row r="1259" spans="3:3">
      <c r="C1259" s="16" t="s">
        <v>3057</v>
      </c>
    </row>
    <row r="1260" spans="3:3">
      <c r="C1260" s="16" t="s">
        <v>3058</v>
      </c>
    </row>
    <row r="1261" spans="3:3">
      <c r="C1261" s="16" t="s">
        <v>3059</v>
      </c>
    </row>
    <row r="1262" spans="3:3">
      <c r="C1262" s="16" t="s">
        <v>3060</v>
      </c>
    </row>
    <row r="1263" spans="3:3">
      <c r="C1263" s="16" t="s">
        <v>2071</v>
      </c>
    </row>
    <row r="1264" spans="3:3">
      <c r="C1264" s="16" t="s">
        <v>3061</v>
      </c>
    </row>
    <row r="1265" spans="3:3">
      <c r="C1265" s="16" t="s">
        <v>3062</v>
      </c>
    </row>
    <row r="1266" spans="3:3">
      <c r="C1266" s="16" t="s">
        <v>3063</v>
      </c>
    </row>
    <row r="1267" spans="3:3">
      <c r="C1267" s="16" t="s">
        <v>3064</v>
      </c>
    </row>
    <row r="1268" spans="3:3">
      <c r="C1268" s="16" t="s">
        <v>3065</v>
      </c>
    </row>
    <row r="1269" spans="3:3">
      <c r="C1269" s="16" t="s">
        <v>3066</v>
      </c>
    </row>
    <row r="1270" spans="3:3">
      <c r="C1270" s="16" t="s">
        <v>3067</v>
      </c>
    </row>
    <row r="1271" spans="3:3">
      <c r="C1271" s="16" t="s">
        <v>3068</v>
      </c>
    </row>
    <row r="1272" spans="3:3">
      <c r="C1272" s="16" t="s">
        <v>3069</v>
      </c>
    </row>
    <row r="1273" spans="3:3">
      <c r="C1273" s="16" t="s">
        <v>3070</v>
      </c>
    </row>
    <row r="1274" spans="3:3">
      <c r="C1274" s="16" t="s">
        <v>3071</v>
      </c>
    </row>
    <row r="1275" spans="3:3">
      <c r="C1275" s="16" t="s">
        <v>3072</v>
      </c>
    </row>
    <row r="1276" spans="3:3">
      <c r="C1276" s="16" t="s">
        <v>3073</v>
      </c>
    </row>
    <row r="1277" spans="3:3">
      <c r="C1277" s="16" t="s">
        <v>3074</v>
      </c>
    </row>
    <row r="1278" spans="3:3">
      <c r="C1278" s="16" t="s">
        <v>3075</v>
      </c>
    </row>
    <row r="1279" spans="3:3">
      <c r="C1279" s="16" t="s">
        <v>3076</v>
      </c>
    </row>
    <row r="1280" spans="3:3">
      <c r="C1280" s="16" t="s">
        <v>3077</v>
      </c>
    </row>
    <row r="1281" spans="3:3">
      <c r="C1281" s="16" t="s">
        <v>3078</v>
      </c>
    </row>
    <row r="1282" spans="3:3">
      <c r="C1282" s="16" t="s">
        <v>3079</v>
      </c>
    </row>
    <row r="1283" spans="3:3">
      <c r="C1283" s="16" t="s">
        <v>3080</v>
      </c>
    </row>
    <row r="1284" spans="3:3">
      <c r="C1284" s="16" t="s">
        <v>3081</v>
      </c>
    </row>
    <row r="1285" spans="3:3">
      <c r="C1285" s="16" t="s">
        <v>3082</v>
      </c>
    </row>
    <row r="1286" spans="3:3">
      <c r="C1286" s="16" t="s">
        <v>3083</v>
      </c>
    </row>
    <row r="1287" spans="3:3">
      <c r="C1287" s="16" t="s">
        <v>3084</v>
      </c>
    </row>
    <row r="1288" spans="3:3">
      <c r="C1288" s="16" t="s">
        <v>3085</v>
      </c>
    </row>
    <row r="1289" spans="3:3">
      <c r="C1289" s="16" t="s">
        <v>3086</v>
      </c>
    </row>
    <row r="1290" spans="3:3">
      <c r="C1290" s="16" t="s">
        <v>3087</v>
      </c>
    </row>
    <row r="1291" spans="3:3">
      <c r="C1291" s="16" t="s">
        <v>3088</v>
      </c>
    </row>
    <row r="1292" spans="3:3">
      <c r="C1292" s="16" t="s">
        <v>3089</v>
      </c>
    </row>
    <row r="1293" spans="3:3">
      <c r="C1293" s="16" t="s">
        <v>3090</v>
      </c>
    </row>
    <row r="1294" spans="3:3">
      <c r="C1294" s="16" t="s">
        <v>3091</v>
      </c>
    </row>
    <row r="1295" spans="3:3">
      <c r="C1295" s="16" t="s">
        <v>3092</v>
      </c>
    </row>
    <row r="1296" spans="3:3">
      <c r="C1296" s="16"/>
    </row>
    <row r="1297" spans="3:3">
      <c r="C1297" s="16" t="s">
        <v>3093</v>
      </c>
    </row>
    <row r="1298" spans="3:3">
      <c r="C1298" s="16" t="s">
        <v>3094</v>
      </c>
    </row>
    <row r="1299" spans="3:3">
      <c r="C1299" s="16" t="s">
        <v>3095</v>
      </c>
    </row>
    <row r="1300" spans="3:3">
      <c r="C1300" s="16" t="s">
        <v>3096</v>
      </c>
    </row>
    <row r="1301" spans="3:3">
      <c r="C1301" s="16"/>
    </row>
    <row r="1302" spans="3:3">
      <c r="C1302" s="16" t="s">
        <v>3097</v>
      </c>
    </row>
    <row r="1303" spans="3:3">
      <c r="C1303" s="16" t="s">
        <v>2799</v>
      </c>
    </row>
    <row r="1304" spans="3:3">
      <c r="C1304" s="16" t="s">
        <v>2176</v>
      </c>
    </row>
    <row r="1305" spans="3:3">
      <c r="C1305" s="16" t="s">
        <v>3098</v>
      </c>
    </row>
    <row r="1306" spans="3:3">
      <c r="C1306" s="16" t="s">
        <v>3099</v>
      </c>
    </row>
    <row r="1307" spans="3:3">
      <c r="C1307" s="16" t="s">
        <v>3100</v>
      </c>
    </row>
    <row r="1308" spans="3:3">
      <c r="C1308" s="16" t="s">
        <v>3101</v>
      </c>
    </row>
    <row r="1309" spans="3:3">
      <c r="C1309" s="16" t="s">
        <v>3102</v>
      </c>
    </row>
    <row r="1310" spans="3:3">
      <c r="C1310" s="16" t="s">
        <v>3103</v>
      </c>
    </row>
    <row r="1311" spans="3:3">
      <c r="C1311" s="16" t="s">
        <v>3104</v>
      </c>
    </row>
    <row r="1312" spans="3:3">
      <c r="C1312" s="16" t="s">
        <v>3105</v>
      </c>
    </row>
    <row r="1313" spans="3:3">
      <c r="C1313" s="16" t="s">
        <v>3106</v>
      </c>
    </row>
    <row r="1314" spans="3:3">
      <c r="C1314" s="16" t="s">
        <v>3107</v>
      </c>
    </row>
    <row r="1315" spans="3:3">
      <c r="C1315" s="16" t="s">
        <v>3108</v>
      </c>
    </row>
    <row r="1316" spans="3:3">
      <c r="C1316" s="16" t="s">
        <v>3109</v>
      </c>
    </row>
    <row r="1317" spans="3:3">
      <c r="C1317" s="16" t="s">
        <v>3110</v>
      </c>
    </row>
    <row r="1318" spans="3:3">
      <c r="C1318" s="16" t="s">
        <v>3111</v>
      </c>
    </row>
    <row r="1319" spans="3:3">
      <c r="C1319" s="16" t="s">
        <v>3112</v>
      </c>
    </row>
    <row r="1320" spans="3:3">
      <c r="C1320" s="16" t="s">
        <v>3113</v>
      </c>
    </row>
    <row r="1321" spans="3:3">
      <c r="C1321" s="16" t="s">
        <v>3114</v>
      </c>
    </row>
    <row r="1322" spans="3:3">
      <c r="C1322" s="16" t="s">
        <v>3115</v>
      </c>
    </row>
    <row r="1323" spans="3:3">
      <c r="C1323" s="16" t="s">
        <v>3116</v>
      </c>
    </row>
    <row r="1324" spans="3:3">
      <c r="C1324" s="16" t="s">
        <v>3117</v>
      </c>
    </row>
    <row r="1325" spans="3:3">
      <c r="C1325" s="16" t="s">
        <v>3118</v>
      </c>
    </row>
    <row r="1326" spans="3:3">
      <c r="C1326" s="16" t="s">
        <v>3119</v>
      </c>
    </row>
    <row r="1327" spans="3:3">
      <c r="C1327" s="16" t="s">
        <v>3120</v>
      </c>
    </row>
    <row r="1328" spans="3:3">
      <c r="C1328" s="16" t="s">
        <v>3121</v>
      </c>
    </row>
    <row r="1329" spans="3:3">
      <c r="C1329" s="16" t="s">
        <v>3122</v>
      </c>
    </row>
    <row r="1330" spans="3:3">
      <c r="C1330" s="16" t="s">
        <v>3123</v>
      </c>
    </row>
    <row r="1331" spans="3:3">
      <c r="C1331" s="16" t="s">
        <v>3124</v>
      </c>
    </row>
    <row r="1332" spans="3:3">
      <c r="C1332" s="16" t="s">
        <v>3125</v>
      </c>
    </row>
    <row r="1333" spans="3:3">
      <c r="C1333" s="16" t="s">
        <v>2071</v>
      </c>
    </row>
    <row r="1334" spans="3:3">
      <c r="C1334" s="16" t="s">
        <v>3126</v>
      </c>
    </row>
    <row r="1335" spans="3:3">
      <c r="C1335" s="16" t="s">
        <v>3127</v>
      </c>
    </row>
    <row r="1336" spans="3:3">
      <c r="C1336" s="16" t="s">
        <v>3128</v>
      </c>
    </row>
    <row r="1337" spans="3:3">
      <c r="C1337" s="16" t="s">
        <v>3129</v>
      </c>
    </row>
    <row r="1338" spans="3:3">
      <c r="C1338" s="16" t="s">
        <v>3130</v>
      </c>
    </row>
    <row r="1339" spans="3:3">
      <c r="C1339" s="16" t="s">
        <v>3131</v>
      </c>
    </row>
    <row r="1340" spans="3:3">
      <c r="C1340" s="16" t="s">
        <v>3132</v>
      </c>
    </row>
    <row r="1341" spans="3:3">
      <c r="C1341" s="16" t="s">
        <v>3133</v>
      </c>
    </row>
    <row r="1342" spans="3:3">
      <c r="C1342" s="16" t="s">
        <v>3134</v>
      </c>
    </row>
    <row r="1343" spans="3:3">
      <c r="C1343" s="16" t="s">
        <v>3135</v>
      </c>
    </row>
    <row r="1344" spans="3:3">
      <c r="C1344" s="16" t="s">
        <v>3136</v>
      </c>
    </row>
    <row r="1345" spans="3:3">
      <c r="C1345" s="16" t="s">
        <v>3137</v>
      </c>
    </row>
    <row r="1346" spans="3:3">
      <c r="C1346" s="16" t="s">
        <v>2008</v>
      </c>
    </row>
    <row r="1347" spans="3:3">
      <c r="C1347" s="16" t="s">
        <v>3138</v>
      </c>
    </row>
    <row r="1348" spans="3:3">
      <c r="C1348" s="16" t="s">
        <v>3139</v>
      </c>
    </row>
    <row r="1349" spans="3:3">
      <c r="C1349" s="16" t="s">
        <v>3140</v>
      </c>
    </row>
    <row r="1350" spans="3:3">
      <c r="C1350" s="16" t="s">
        <v>3141</v>
      </c>
    </row>
    <row r="1351" spans="3:3">
      <c r="C1351" s="16" t="s">
        <v>3142</v>
      </c>
    </row>
    <row r="1352" spans="3:3">
      <c r="C1352" s="16" t="s">
        <v>3143</v>
      </c>
    </row>
    <row r="1353" spans="3:3">
      <c r="C1353" s="16" t="s">
        <v>3144</v>
      </c>
    </row>
    <row r="1354" spans="3:3">
      <c r="C1354" s="16" t="s">
        <v>3145</v>
      </c>
    </row>
    <row r="1355" spans="3:3">
      <c r="C1355" s="16" t="s">
        <v>3146</v>
      </c>
    </row>
    <row r="1356" spans="3:3">
      <c r="C1356" s="16" t="s">
        <v>3147</v>
      </c>
    </row>
    <row r="1357" spans="3:3">
      <c r="C1357" s="16" t="s">
        <v>3148</v>
      </c>
    </row>
    <row r="1358" spans="3:3">
      <c r="C1358" s="16" t="s">
        <v>3149</v>
      </c>
    </row>
    <row r="1359" spans="3:3">
      <c r="C1359" s="16" t="s">
        <v>3150</v>
      </c>
    </row>
    <row r="1360" spans="3:3">
      <c r="C1360" s="16" t="s">
        <v>3151</v>
      </c>
    </row>
    <row r="1361" spans="3:3">
      <c r="C1361" s="16" t="s">
        <v>2176</v>
      </c>
    </row>
    <row r="1362" spans="3:3">
      <c r="C1362" s="16" t="s">
        <v>3152</v>
      </c>
    </row>
    <row r="1363" spans="3:3">
      <c r="C1363" s="16" t="s">
        <v>3153</v>
      </c>
    </row>
    <row r="1364" spans="3:3">
      <c r="C1364" s="16" t="s">
        <v>3154</v>
      </c>
    </row>
    <row r="1365" spans="3:3">
      <c r="C1365" s="16" t="s">
        <v>3155</v>
      </c>
    </row>
    <row r="1366" spans="3:3">
      <c r="C1366" s="16" t="s">
        <v>3156</v>
      </c>
    </row>
    <row r="1367" spans="3:3">
      <c r="C1367" s="16" t="s">
        <v>3157</v>
      </c>
    </row>
    <row r="1368" spans="3:3">
      <c r="C1368" s="16" t="s">
        <v>3158</v>
      </c>
    </row>
    <row r="1369" spans="3:3">
      <c r="C1369" s="16" t="s">
        <v>3159</v>
      </c>
    </row>
    <row r="1370" spans="3:3">
      <c r="C1370" s="16" t="s">
        <v>3160</v>
      </c>
    </row>
    <row r="1371" spans="3:3">
      <c r="C1371" s="16"/>
    </row>
    <row r="1372" spans="3:3">
      <c r="C1372" s="16" t="s">
        <v>3161</v>
      </c>
    </row>
    <row r="1373" spans="3:3">
      <c r="C1373" s="16" t="s">
        <v>3162</v>
      </c>
    </row>
    <row r="1374" spans="3:3">
      <c r="C1374" s="16" t="s">
        <v>3163</v>
      </c>
    </row>
    <row r="1375" spans="3:3">
      <c r="C1375" s="16"/>
    </row>
    <row r="1376" spans="3:3">
      <c r="C1376" s="16" t="s">
        <v>3164</v>
      </c>
    </row>
    <row r="1377" spans="3:3">
      <c r="C1377" s="16" t="s">
        <v>3165</v>
      </c>
    </row>
    <row r="1378" spans="3:3">
      <c r="C1378" s="16" t="s">
        <v>3166</v>
      </c>
    </row>
    <row r="1379" spans="3:3">
      <c r="C1379" s="16" t="s">
        <v>3167</v>
      </c>
    </row>
    <row r="1380" spans="3:3">
      <c r="C1380" s="16" t="s">
        <v>3168</v>
      </c>
    </row>
    <row r="1381" spans="3:3">
      <c r="C1381" s="16" t="s">
        <v>2176</v>
      </c>
    </row>
    <row r="1382" spans="3:3">
      <c r="C1382" s="16" t="s">
        <v>3169</v>
      </c>
    </row>
    <row r="1383" spans="3:3">
      <c r="C1383" s="16" t="s">
        <v>3170</v>
      </c>
    </row>
    <row r="1384" spans="3:3">
      <c r="C1384" s="16" t="s">
        <v>3171</v>
      </c>
    </row>
    <row r="1385" spans="3:3">
      <c r="C1385" s="16" t="s">
        <v>3172</v>
      </c>
    </row>
    <row r="1386" spans="3:3">
      <c r="C1386" s="16" t="s">
        <v>3173</v>
      </c>
    </row>
    <row r="1387" spans="3:3">
      <c r="C1387" s="16" t="s">
        <v>3174</v>
      </c>
    </row>
    <row r="1388" spans="3:3">
      <c r="C1388" s="16" t="s">
        <v>3175</v>
      </c>
    </row>
    <row r="1389" spans="3:3">
      <c r="C1389" s="16" t="s">
        <v>3176</v>
      </c>
    </row>
    <row r="1390" spans="3:3">
      <c r="C1390" s="16" t="s">
        <v>3177</v>
      </c>
    </row>
    <row r="1391" spans="3:3">
      <c r="C1391" s="16" t="s">
        <v>3178</v>
      </c>
    </row>
    <row r="1392" spans="3:3">
      <c r="C1392" s="16" t="s">
        <v>3179</v>
      </c>
    </row>
    <row r="1393" spans="3:3">
      <c r="C1393" s="16" t="s">
        <v>3180</v>
      </c>
    </row>
    <row r="1394" spans="3:3">
      <c r="C1394" s="16" t="s">
        <v>3181</v>
      </c>
    </row>
    <row r="1395" spans="3:3">
      <c r="C1395" s="16" t="s">
        <v>3182</v>
      </c>
    </row>
    <row r="1396" spans="3:3">
      <c r="C1396" s="16" t="s">
        <v>2071</v>
      </c>
    </row>
    <row r="1397" spans="3:3">
      <c r="C1397" s="16" t="s">
        <v>3183</v>
      </c>
    </row>
    <row r="1398" spans="3:3">
      <c r="C1398" s="16" t="s">
        <v>3184</v>
      </c>
    </row>
    <row r="1399" spans="3:3">
      <c r="C1399" s="16" t="s">
        <v>3185</v>
      </c>
    </row>
    <row r="1400" spans="3:3">
      <c r="C1400" s="16" t="s">
        <v>3186</v>
      </c>
    </row>
    <row r="1401" spans="3:3">
      <c r="C1401" s="16" t="s">
        <v>3187</v>
      </c>
    </row>
    <row r="1402" spans="3:3">
      <c r="C1402" s="16" t="s">
        <v>3188</v>
      </c>
    </row>
    <row r="1403" spans="3:3">
      <c r="C1403" s="16" t="s">
        <v>3189</v>
      </c>
    </row>
    <row r="1404" spans="3:3">
      <c r="C1404" s="16" t="s">
        <v>2008</v>
      </c>
    </row>
    <row r="1405" spans="3:3">
      <c r="C1405" s="16" t="s">
        <v>3190</v>
      </c>
    </row>
    <row r="1406" spans="3:3">
      <c r="C1406" s="16" t="s">
        <v>3191</v>
      </c>
    </row>
    <row r="1407" spans="3:3">
      <c r="C1407" s="16" t="s">
        <v>3192</v>
      </c>
    </row>
    <row r="1408" spans="3:3">
      <c r="C1408" s="16" t="s">
        <v>3193</v>
      </c>
    </row>
    <row r="1409" spans="3:3">
      <c r="C1409" s="16" t="s">
        <v>3194</v>
      </c>
    </row>
    <row r="1410" spans="3:3">
      <c r="C1410" s="16" t="s">
        <v>3195</v>
      </c>
    </row>
    <row r="1411" spans="3:3">
      <c r="C1411" s="16" t="s">
        <v>2963</v>
      </c>
    </row>
    <row r="1412" spans="3:3">
      <c r="C1412" s="16" t="s">
        <v>3196</v>
      </c>
    </row>
    <row r="1413" spans="3:3">
      <c r="C1413" s="16" t="s">
        <v>3197</v>
      </c>
    </row>
    <row r="1414" spans="3:3">
      <c r="C1414" s="16" t="s">
        <v>3198</v>
      </c>
    </row>
    <row r="1415" spans="3:3">
      <c r="C1415" s="16" t="s">
        <v>3199</v>
      </c>
    </row>
    <row r="1416" spans="3:3">
      <c r="C1416" s="16" t="s">
        <v>3200</v>
      </c>
    </row>
    <row r="1417" spans="3:3">
      <c r="C1417" s="16" t="s">
        <v>3201</v>
      </c>
    </row>
    <row r="1418" spans="3:3">
      <c r="C1418" s="16" t="s">
        <v>3202</v>
      </c>
    </row>
    <row r="1419" spans="3:3">
      <c r="C1419" s="16" t="s">
        <v>3203</v>
      </c>
    </row>
    <row r="1420" spans="3:3">
      <c r="C1420" s="16" t="s">
        <v>3204</v>
      </c>
    </row>
    <row r="1421" spans="3:3">
      <c r="C1421" s="16" t="s">
        <v>3205</v>
      </c>
    </row>
    <row r="1422" spans="3:3">
      <c r="C1422" s="16" t="s">
        <v>3206</v>
      </c>
    </row>
    <row r="1423" spans="3:3">
      <c r="C1423" s="16" t="s">
        <v>3207</v>
      </c>
    </row>
    <row r="1424" spans="3:3">
      <c r="C1424" s="16" t="s">
        <v>2176</v>
      </c>
    </row>
    <row r="1425" spans="3:3">
      <c r="C1425" s="16" t="s">
        <v>3208</v>
      </c>
    </row>
    <row r="1426" spans="3:3">
      <c r="C1426" s="16" t="s">
        <v>3209</v>
      </c>
    </row>
    <row r="1427" spans="3:3">
      <c r="C1427" s="16" t="s">
        <v>3210</v>
      </c>
    </row>
    <row r="1428" spans="3:3">
      <c r="C1428" s="16" t="s">
        <v>3211</v>
      </c>
    </row>
    <row r="1429" spans="3:3">
      <c r="C1429" s="16" t="s">
        <v>3212</v>
      </c>
    </row>
    <row r="1430" spans="3:3">
      <c r="C1430" s="16" t="s">
        <v>3213</v>
      </c>
    </row>
    <row r="1431" spans="3:3">
      <c r="C1431" s="16" t="s">
        <v>3214</v>
      </c>
    </row>
    <row r="1432" spans="3:3">
      <c r="C1432" s="16" t="s">
        <v>3215</v>
      </c>
    </row>
    <row r="1433" spans="3:3">
      <c r="C1433" s="16" t="s">
        <v>3216</v>
      </c>
    </row>
    <row r="1434" spans="3:3">
      <c r="C1434" s="16" t="s">
        <v>3217</v>
      </c>
    </row>
    <row r="1435" spans="3:3">
      <c r="C1435" s="16" t="s">
        <v>3218</v>
      </c>
    </row>
    <row r="1436" spans="3:3">
      <c r="C1436" s="16" t="s">
        <v>3219</v>
      </c>
    </row>
    <row r="1437" spans="3:3">
      <c r="C1437" s="16" t="s">
        <v>3220</v>
      </c>
    </row>
    <row r="1438" spans="3:3">
      <c r="C1438" s="16" t="s">
        <v>3221</v>
      </c>
    </row>
    <row r="1439" spans="3:3">
      <c r="C1439" s="16" t="s">
        <v>3222</v>
      </c>
    </row>
    <row r="1440" spans="3:3">
      <c r="C1440" s="16" t="s">
        <v>3223</v>
      </c>
    </row>
    <row r="1441" spans="3:3">
      <c r="C1441" s="16" t="s">
        <v>3224</v>
      </c>
    </row>
    <row r="1442" spans="3:3">
      <c r="C1442" s="16" t="s">
        <v>2622</v>
      </c>
    </row>
    <row r="1443" spans="3:3">
      <c r="C1443" s="16" t="s">
        <v>3225</v>
      </c>
    </row>
    <row r="1444" spans="3:3">
      <c r="C1444" s="16" t="s">
        <v>3226</v>
      </c>
    </row>
    <row r="1445" spans="3:3">
      <c r="C1445" s="16" t="s">
        <v>3227</v>
      </c>
    </row>
    <row r="1446" spans="3:3">
      <c r="C1446" s="16" t="s">
        <v>3228</v>
      </c>
    </row>
    <row r="1447" spans="3:3">
      <c r="C1447" s="16" t="s">
        <v>3229</v>
      </c>
    </row>
    <row r="1448" spans="3:3">
      <c r="C1448" s="16" t="s">
        <v>3230</v>
      </c>
    </row>
    <row r="1449" spans="3:3">
      <c r="C1449" s="16" t="s">
        <v>3231</v>
      </c>
    </row>
    <row r="1450" spans="3:3">
      <c r="C1450" s="16" t="s">
        <v>3232</v>
      </c>
    </row>
    <row r="1451" spans="3:3">
      <c r="C1451" s="16" t="s">
        <v>3233</v>
      </c>
    </row>
    <row r="1452" spans="3:3">
      <c r="C1452" s="16" t="s">
        <v>3234</v>
      </c>
    </row>
    <row r="1453" spans="3:3">
      <c r="C1453" s="16" t="s">
        <v>3235</v>
      </c>
    </row>
    <row r="1454" spans="3:3">
      <c r="C1454" s="16" t="s">
        <v>3236</v>
      </c>
    </row>
    <row r="1455" spans="3:3">
      <c r="C1455" s="16" t="s">
        <v>3237</v>
      </c>
    </row>
    <row r="1456" spans="3:3">
      <c r="C1456" s="16" t="s">
        <v>3238</v>
      </c>
    </row>
    <row r="1457" spans="3:3">
      <c r="C1457" s="16" t="s">
        <v>3239</v>
      </c>
    </row>
    <row r="1458" spans="3:3">
      <c r="C1458" s="16" t="s">
        <v>3240</v>
      </c>
    </row>
    <row r="1459" spans="3:3">
      <c r="C1459" s="16" t="s">
        <v>3241</v>
      </c>
    </row>
    <row r="1460" spans="3:3">
      <c r="C1460" s="16" t="s">
        <v>3242</v>
      </c>
    </row>
    <row r="1461" spans="3:3">
      <c r="C1461" s="16" t="s">
        <v>2906</v>
      </c>
    </row>
    <row r="1462" spans="3:3">
      <c r="C1462" s="16" t="s">
        <v>3243</v>
      </c>
    </row>
    <row r="1463" spans="3:3">
      <c r="C1463" s="16" t="s">
        <v>3244</v>
      </c>
    </row>
    <row r="1464" spans="3:3">
      <c r="C1464" s="16" t="s">
        <v>3245</v>
      </c>
    </row>
    <row r="1465" spans="3:3">
      <c r="C1465" s="16" t="s">
        <v>3246</v>
      </c>
    </row>
    <row r="1466" spans="3:3">
      <c r="C1466" s="16" t="s">
        <v>3247</v>
      </c>
    </row>
    <row r="1467" spans="3:3">
      <c r="C1467" s="16" t="s">
        <v>3248</v>
      </c>
    </row>
    <row r="1468" spans="3:3">
      <c r="C1468" s="16" t="s">
        <v>3249</v>
      </c>
    </row>
    <row r="1469" spans="3:3">
      <c r="C1469" s="16" t="s">
        <v>3250</v>
      </c>
    </row>
    <row r="1470" spans="3:3">
      <c r="C1470" s="16" t="s">
        <v>3251</v>
      </c>
    </row>
    <row r="1471" spans="3:3">
      <c r="C1471" s="16" t="s">
        <v>3252</v>
      </c>
    </row>
    <row r="1472" spans="3:3">
      <c r="C1472" s="16" t="s">
        <v>3253</v>
      </c>
    </row>
    <row r="1473" spans="3:3">
      <c r="C1473" s="16" t="s">
        <v>3254</v>
      </c>
    </row>
    <row r="1474" spans="3:3">
      <c r="C1474" s="16" t="s">
        <v>3255</v>
      </c>
    </row>
    <row r="1475" spans="3:3">
      <c r="C1475" s="16" t="s">
        <v>3256</v>
      </c>
    </row>
    <row r="1476" spans="3:3">
      <c r="C1476" s="16" t="s">
        <v>3257</v>
      </c>
    </row>
    <row r="1477" spans="3:3">
      <c r="C1477" s="16" t="s">
        <v>3258</v>
      </c>
    </row>
    <row r="1478" spans="3:3">
      <c r="C1478" s="16" t="s">
        <v>3259</v>
      </c>
    </row>
    <row r="1479" spans="3:3">
      <c r="C1479" s="16" t="s">
        <v>3260</v>
      </c>
    </row>
    <row r="1480" spans="3:3">
      <c r="C1480" s="16" t="s">
        <v>3261</v>
      </c>
    </row>
    <row r="1481" spans="3:3">
      <c r="C1481" s="16" t="s">
        <v>3262</v>
      </c>
    </row>
    <row r="1482" spans="3:3">
      <c r="C1482" s="16" t="s">
        <v>3263</v>
      </c>
    </row>
    <row r="1483" spans="3:3">
      <c r="C1483" s="16" t="s">
        <v>3264</v>
      </c>
    </row>
    <row r="1484" spans="3:3">
      <c r="C1484" s="16" t="s">
        <v>2176</v>
      </c>
    </row>
    <row r="1485" spans="3:3">
      <c r="C1485" s="16" t="s">
        <v>3265</v>
      </c>
    </row>
    <row r="1486" spans="3:3">
      <c r="C1486" s="16" t="s">
        <v>3266</v>
      </c>
    </row>
    <row r="1487" spans="3:3">
      <c r="C1487" s="16" t="s">
        <v>3267</v>
      </c>
    </row>
    <row r="1488" spans="3:3">
      <c r="C1488" s="16" t="s">
        <v>3268</v>
      </c>
    </row>
    <row r="1489" spans="3:3">
      <c r="C1489" s="16" t="s">
        <v>3269</v>
      </c>
    </row>
    <row r="1490" spans="3:3">
      <c r="C1490" s="16" t="s">
        <v>3270</v>
      </c>
    </row>
    <row r="1491" spans="3:3">
      <c r="C1491" s="16" t="s">
        <v>3271</v>
      </c>
    </row>
    <row r="1492" spans="3:3">
      <c r="C1492" s="16" t="s">
        <v>3272</v>
      </c>
    </row>
    <row r="1493" spans="3:3">
      <c r="C1493" s="16" t="s">
        <v>3273</v>
      </c>
    </row>
    <row r="1494" spans="3:3">
      <c r="C1494" s="16" t="s">
        <v>3274</v>
      </c>
    </row>
    <row r="1495" spans="3:3">
      <c r="C1495" s="16" t="s">
        <v>3275</v>
      </c>
    </row>
    <row r="1496" spans="3:3">
      <c r="C1496" s="16" t="s">
        <v>3276</v>
      </c>
    </row>
    <row r="1497" spans="3:3">
      <c r="C1497" s="16" t="s">
        <v>3277</v>
      </c>
    </row>
    <row r="1498" spans="3:3">
      <c r="C1498" s="16" t="s">
        <v>3278</v>
      </c>
    </row>
    <row r="1499" spans="3:3">
      <c r="C1499" s="16" t="s">
        <v>3279</v>
      </c>
    </row>
    <row r="1500" spans="3:3">
      <c r="C1500" s="16" t="s">
        <v>3280</v>
      </c>
    </row>
    <row r="1501" spans="3:3">
      <c r="C1501" s="16" t="s">
        <v>3281</v>
      </c>
    </row>
    <row r="1502" spans="3:3">
      <c r="C1502" s="16" t="s">
        <v>3282</v>
      </c>
    </row>
    <row r="1503" spans="3:3">
      <c r="C1503" s="16" t="s">
        <v>3283</v>
      </c>
    </row>
    <row r="1504" spans="3:3">
      <c r="C1504" s="16" t="s">
        <v>3284</v>
      </c>
    </row>
    <row r="1505" spans="3:3">
      <c r="C1505" s="16" t="s">
        <v>3285</v>
      </c>
    </row>
    <row r="1506" spans="3:3">
      <c r="C1506" s="16" t="s">
        <v>3286</v>
      </c>
    </row>
    <row r="1507" spans="3:3">
      <c r="C1507" s="16" t="s">
        <v>3287</v>
      </c>
    </row>
    <row r="1508" spans="3:3">
      <c r="C1508" s="16" t="s">
        <v>2622</v>
      </c>
    </row>
    <row r="1509" spans="3:3">
      <c r="C1509" s="16" t="s">
        <v>3288</v>
      </c>
    </row>
    <row r="1510" spans="3:3">
      <c r="C1510" s="16" t="s">
        <v>3289</v>
      </c>
    </row>
    <row r="1511" spans="3:3">
      <c r="C1511" s="16" t="s">
        <v>3290</v>
      </c>
    </row>
    <row r="1512" spans="3:3">
      <c r="C1512" s="16" t="s">
        <v>3291</v>
      </c>
    </row>
    <row r="1513" spans="3:3">
      <c r="C1513" s="16" t="s">
        <v>3292</v>
      </c>
    </row>
    <row r="1514" spans="3:3">
      <c r="C1514" s="16" t="s">
        <v>3293</v>
      </c>
    </row>
    <row r="1515" spans="3:3">
      <c r="C1515" s="16" t="s">
        <v>3294</v>
      </c>
    </row>
    <row r="1516" spans="3:3">
      <c r="C1516" s="16" t="s">
        <v>3295</v>
      </c>
    </row>
    <row r="1517" spans="3:3">
      <c r="C1517" s="16" t="s">
        <v>3296</v>
      </c>
    </row>
    <row r="1518" spans="3:3">
      <c r="C1518" s="16" t="s">
        <v>3297</v>
      </c>
    </row>
    <row r="1519" spans="3:3">
      <c r="C1519" s="16" t="s">
        <v>3298</v>
      </c>
    </row>
    <row r="1520" spans="3:3">
      <c r="C1520" s="16" t="s">
        <v>3299</v>
      </c>
    </row>
    <row r="1521" spans="3:3">
      <c r="C1521" s="16" t="s">
        <v>3300</v>
      </c>
    </row>
    <row r="1522" spans="3:3">
      <c r="C1522" s="16" t="s">
        <v>3301</v>
      </c>
    </row>
    <row r="1523" spans="3:3">
      <c r="C1523" s="16" t="s">
        <v>3302</v>
      </c>
    </row>
    <row r="1524" spans="3:3">
      <c r="C1524" s="16" t="s">
        <v>3303</v>
      </c>
    </row>
    <row r="1525" spans="3:3">
      <c r="C1525" s="16" t="s">
        <v>3304</v>
      </c>
    </row>
    <row r="1526" spans="3:3">
      <c r="C1526" s="16" t="s">
        <v>3305</v>
      </c>
    </row>
    <row r="1527" spans="3:3">
      <c r="C1527" s="16" t="s">
        <v>3306</v>
      </c>
    </row>
    <row r="1528" spans="3:3">
      <c r="C1528" s="16" t="s">
        <v>3307</v>
      </c>
    </row>
    <row r="1529" spans="3:3">
      <c r="C1529" s="16" t="s">
        <v>2008</v>
      </c>
    </row>
    <row r="1530" spans="3:3">
      <c r="C1530" s="16" t="s">
        <v>3308</v>
      </c>
    </row>
    <row r="1531" spans="3:3">
      <c r="C1531" s="16" t="s">
        <v>3309</v>
      </c>
    </row>
    <row r="1532" spans="3:3">
      <c r="C1532" s="16" t="s">
        <v>3310</v>
      </c>
    </row>
    <row r="1533" spans="3:3">
      <c r="C1533" s="16" t="s">
        <v>3311</v>
      </c>
    </row>
    <row r="1534" spans="3:3">
      <c r="C1534" s="16" t="s">
        <v>3312</v>
      </c>
    </row>
    <row r="1535" spans="3:3">
      <c r="C1535" s="16" t="s">
        <v>3313</v>
      </c>
    </row>
    <row r="1536" spans="3:3">
      <c r="C1536" s="16" t="s">
        <v>3314</v>
      </c>
    </row>
    <row r="1537" spans="3:3">
      <c r="C1537" s="16" t="s">
        <v>3315</v>
      </c>
    </row>
    <row r="1538" spans="3:3">
      <c r="C1538" s="16" t="s">
        <v>3316</v>
      </c>
    </row>
    <row r="1539" spans="3:3">
      <c r="C1539" s="16" t="s">
        <v>3317</v>
      </c>
    </row>
    <row r="1540" spans="3:3">
      <c r="C1540" s="16" t="s">
        <v>3318</v>
      </c>
    </row>
    <row r="1541" spans="3:3">
      <c r="C1541" s="16" t="s">
        <v>3319</v>
      </c>
    </row>
    <row r="1542" spans="3:3">
      <c r="C1542" s="16" t="s">
        <v>3320</v>
      </c>
    </row>
    <row r="1543" spans="3:3">
      <c r="C1543" s="16" t="s">
        <v>3321</v>
      </c>
    </row>
    <row r="1544" spans="3:3">
      <c r="C1544" s="16" t="s">
        <v>3322</v>
      </c>
    </row>
    <row r="1545" spans="3:3">
      <c r="C1545" s="16" t="s">
        <v>3323</v>
      </c>
    </row>
    <row r="1546" spans="3:3">
      <c r="C1546" s="16" t="s">
        <v>3324</v>
      </c>
    </row>
    <row r="1547" spans="3:3">
      <c r="C1547" s="16" t="s">
        <v>3325</v>
      </c>
    </row>
    <row r="1548" spans="3:3">
      <c r="C1548" s="16" t="s">
        <v>3326</v>
      </c>
    </row>
    <row r="1549" spans="3:3">
      <c r="C1549" s="16" t="s">
        <v>3327</v>
      </c>
    </row>
    <row r="1550" spans="3:3">
      <c r="C1550" s="16" t="s">
        <v>3328</v>
      </c>
    </row>
    <row r="1551" spans="3:3">
      <c r="C1551" s="16" t="s">
        <v>3329</v>
      </c>
    </row>
    <row r="1552" spans="3:3">
      <c r="C1552" s="16" t="s">
        <v>3330</v>
      </c>
    </row>
    <row r="1553" spans="3:3">
      <c r="C1553" s="16" t="s">
        <v>3331</v>
      </c>
    </row>
    <row r="1554" spans="3:3">
      <c r="C1554" s="16" t="s">
        <v>3332</v>
      </c>
    </row>
    <row r="1555" spans="3:3">
      <c r="C1555" s="16" t="s">
        <v>3333</v>
      </c>
    </row>
    <row r="1556" spans="3:3">
      <c r="C1556" s="16" t="s">
        <v>3334</v>
      </c>
    </row>
    <row r="1557" spans="3:3">
      <c r="C1557" s="16" t="s">
        <v>3335</v>
      </c>
    </row>
    <row r="1558" spans="3:3">
      <c r="C1558" s="16" t="s">
        <v>3336</v>
      </c>
    </row>
    <row r="1559" spans="3:3">
      <c r="C1559" s="16" t="s">
        <v>3337</v>
      </c>
    </row>
    <row r="1560" spans="3:3">
      <c r="C1560" s="16" t="s">
        <v>3338</v>
      </c>
    </row>
    <row r="1561" spans="3:3">
      <c r="C1561" s="16" t="s">
        <v>3339</v>
      </c>
    </row>
    <row r="1562" spans="3:3">
      <c r="C1562" s="16" t="s">
        <v>3340</v>
      </c>
    </row>
    <row r="1563" spans="3:3">
      <c r="C1563" s="16" t="s">
        <v>3341</v>
      </c>
    </row>
    <row r="1564" spans="3:3">
      <c r="C1564" s="16" t="s">
        <v>3342</v>
      </c>
    </row>
    <row r="1565" spans="3:3">
      <c r="C1565" s="16" t="s">
        <v>3343</v>
      </c>
    </row>
    <row r="1566" spans="3:3">
      <c r="C1566" s="16" t="s">
        <v>3344</v>
      </c>
    </row>
    <row r="1567" spans="3:3">
      <c r="C1567" s="16" t="s">
        <v>3345</v>
      </c>
    </row>
    <row r="1568" spans="3:3">
      <c r="C1568" s="16" t="s">
        <v>3346</v>
      </c>
    </row>
    <row r="1569" spans="3:3">
      <c r="C1569" s="16" t="s">
        <v>3347</v>
      </c>
    </row>
    <row r="1570" spans="3:3">
      <c r="C1570" s="16" t="s">
        <v>3348</v>
      </c>
    </row>
    <row r="1571" spans="3:3">
      <c r="C1571" s="16" t="s">
        <v>3349</v>
      </c>
    </row>
    <row r="1572" spans="3:3">
      <c r="C1572" s="16" t="s">
        <v>3350</v>
      </c>
    </row>
    <row r="1573" spans="3:3">
      <c r="C1573" s="16" t="s">
        <v>3351</v>
      </c>
    </row>
    <row r="1574" spans="3:3">
      <c r="C1574" s="16" t="s">
        <v>3352</v>
      </c>
    </row>
    <row r="1575" spans="3:3">
      <c r="C1575" s="16" t="s">
        <v>3353</v>
      </c>
    </row>
    <row r="1576" spans="3:3">
      <c r="C1576" s="16" t="s">
        <v>3354</v>
      </c>
    </row>
    <row r="1577" spans="3:3">
      <c r="C1577" s="16" t="s">
        <v>3355</v>
      </c>
    </row>
    <row r="1578" spans="3:3">
      <c r="C1578" s="16" t="s">
        <v>3356</v>
      </c>
    </row>
    <row r="1579" spans="3:3">
      <c r="C1579" s="16" t="s">
        <v>3357</v>
      </c>
    </row>
    <row r="1580" spans="3:3">
      <c r="C1580" s="16" t="s">
        <v>3358</v>
      </c>
    </row>
    <row r="1581" spans="3:3">
      <c r="C1581" s="16" t="s">
        <v>3359</v>
      </c>
    </row>
    <row r="1582" spans="3:3">
      <c r="C1582" s="16" t="s">
        <v>3360</v>
      </c>
    </row>
    <row r="1583" spans="3:3">
      <c r="C1583" s="16" t="s">
        <v>2008</v>
      </c>
    </row>
    <row r="1584" spans="3:3">
      <c r="C1584" s="16" t="s">
        <v>3361</v>
      </c>
    </row>
    <row r="1585" spans="3:3">
      <c r="C1585" s="16" t="s">
        <v>3362</v>
      </c>
    </row>
    <row r="1586" spans="3:3">
      <c r="C1586" s="16" t="s">
        <v>3363</v>
      </c>
    </row>
    <row r="1587" spans="3:3">
      <c r="C1587" s="16" t="s">
        <v>3364</v>
      </c>
    </row>
    <row r="1588" spans="3:3">
      <c r="C1588" s="16" t="s">
        <v>3365</v>
      </c>
    </row>
    <row r="1589" spans="3:3">
      <c r="C1589" s="16" t="s">
        <v>3366</v>
      </c>
    </row>
    <row r="1590" spans="3:3">
      <c r="C1590" s="16" t="s">
        <v>3367</v>
      </c>
    </row>
    <row r="1591" spans="3:3">
      <c r="C1591" s="16" t="s">
        <v>3368</v>
      </c>
    </row>
    <row r="1592" spans="3:3">
      <c r="C1592" s="16" t="s">
        <v>3369</v>
      </c>
    </row>
    <row r="1593" spans="3:3">
      <c r="C1593" s="16" t="s">
        <v>3370</v>
      </c>
    </row>
    <row r="1594" spans="3:3">
      <c r="C1594" s="16" t="s">
        <v>3371</v>
      </c>
    </row>
    <row r="1595" spans="3:3">
      <c r="C1595" s="16" t="s">
        <v>3372</v>
      </c>
    </row>
    <row r="1596" spans="3:3">
      <c r="C1596" s="16" t="s">
        <v>3373</v>
      </c>
    </row>
    <row r="1597" spans="3:3">
      <c r="C1597" s="16" t="s">
        <v>3374</v>
      </c>
    </row>
    <row r="1598" spans="3:3">
      <c r="C1598" s="16" t="s">
        <v>3375</v>
      </c>
    </row>
    <row r="1599" spans="3:3">
      <c r="C1599" s="16" t="s">
        <v>3376</v>
      </c>
    </row>
    <row r="1600" spans="3:3">
      <c r="C1600" s="16" t="s">
        <v>3377</v>
      </c>
    </row>
    <row r="1601" spans="3:3">
      <c r="C1601" s="16" t="s">
        <v>3378</v>
      </c>
    </row>
    <row r="1602" spans="3:3">
      <c r="C1602" s="16" t="s">
        <v>3379</v>
      </c>
    </row>
    <row r="1603" spans="3:3">
      <c r="C1603" s="16" t="s">
        <v>3380</v>
      </c>
    </row>
    <row r="1604" spans="3:3">
      <c r="C1604" s="16" t="s">
        <v>3381</v>
      </c>
    </row>
    <row r="1605" spans="3:3">
      <c r="C1605" s="16" t="s">
        <v>3382</v>
      </c>
    </row>
    <row r="1606" spans="3:3">
      <c r="C1606" s="16" t="s">
        <v>3383</v>
      </c>
    </row>
    <row r="1607" spans="3:3">
      <c r="C1607" s="16" t="s">
        <v>3384</v>
      </c>
    </row>
    <row r="1608" spans="3:3">
      <c r="C1608" s="16" t="s">
        <v>3385</v>
      </c>
    </row>
    <row r="1609" spans="3:3">
      <c r="C1609" s="16" t="s">
        <v>3386</v>
      </c>
    </row>
    <row r="1610" spans="3:3">
      <c r="C1610" s="16" t="s">
        <v>3387</v>
      </c>
    </row>
    <row r="1611" spans="3:3">
      <c r="C1611" s="16" t="s">
        <v>3388</v>
      </c>
    </row>
    <row r="1612" spans="3:3">
      <c r="C1612" s="16" t="s">
        <v>3389</v>
      </c>
    </row>
    <row r="1613" spans="3:3">
      <c r="C1613" s="16" t="s">
        <v>3390</v>
      </c>
    </row>
    <row r="1614" spans="3:3">
      <c r="C1614" s="16" t="s">
        <v>3391</v>
      </c>
    </row>
    <row r="1615" spans="3:3">
      <c r="C1615" s="16" t="s">
        <v>3392</v>
      </c>
    </row>
    <row r="1616" spans="3:3">
      <c r="C1616" s="16" t="s">
        <v>3393</v>
      </c>
    </row>
    <row r="1617" spans="3:3">
      <c r="C1617" s="16" t="s">
        <v>3394</v>
      </c>
    </row>
    <row r="1618" spans="3:3">
      <c r="C1618" s="16" t="s">
        <v>3395</v>
      </c>
    </row>
    <row r="1619" spans="3:3">
      <c r="C1619" s="16" t="s">
        <v>3396</v>
      </c>
    </row>
    <row r="1620" spans="3:3">
      <c r="C1620" s="16" t="s">
        <v>3397</v>
      </c>
    </row>
    <row r="1621" spans="3:3">
      <c r="C1621" s="16" t="s">
        <v>3398</v>
      </c>
    </row>
    <row r="1622" spans="3:3">
      <c r="C1622" s="16" t="s">
        <v>3399</v>
      </c>
    </row>
    <row r="1623" spans="3:3">
      <c r="C1623" s="16" t="s">
        <v>3400</v>
      </c>
    </row>
    <row r="1624" spans="3:3">
      <c r="C1624" s="16" t="s">
        <v>3401</v>
      </c>
    </row>
    <row r="1625" spans="3:3">
      <c r="C1625" s="16" t="s">
        <v>3402</v>
      </c>
    </row>
    <row r="1626" spans="3:3">
      <c r="C1626" s="16" t="s">
        <v>3403</v>
      </c>
    </row>
    <row r="1627" spans="3:3">
      <c r="C1627" s="16" t="s">
        <v>3404</v>
      </c>
    </row>
    <row r="1628" spans="3:3">
      <c r="C1628" s="16" t="s">
        <v>3405</v>
      </c>
    </row>
    <row r="1629" spans="3:3">
      <c r="C1629" s="16" t="s">
        <v>3406</v>
      </c>
    </row>
    <row r="1630" spans="3:3">
      <c r="C1630" s="16" t="s">
        <v>3407</v>
      </c>
    </row>
    <row r="1631" spans="3:3">
      <c r="C1631" s="16" t="s">
        <v>3408</v>
      </c>
    </row>
    <row r="1632" spans="3:3">
      <c r="C1632" s="16" t="s">
        <v>3409</v>
      </c>
    </row>
    <row r="1633" spans="3:3">
      <c r="C1633" s="16" t="s">
        <v>3410</v>
      </c>
    </row>
    <row r="1634" spans="3:3">
      <c r="C1634" s="16" t="s">
        <v>3411</v>
      </c>
    </row>
    <row r="1635" spans="3:3">
      <c r="C1635" s="16" t="s">
        <v>3412</v>
      </c>
    </row>
    <row r="1636" spans="3:3">
      <c r="C1636" s="16" t="s">
        <v>3413</v>
      </c>
    </row>
    <row r="1637" spans="3:3">
      <c r="C1637" s="16" t="s">
        <v>3414</v>
      </c>
    </row>
    <row r="1638" spans="3:3">
      <c r="C1638" s="16" t="s">
        <v>3415</v>
      </c>
    </row>
    <row r="1639" spans="3:3">
      <c r="C1639" s="16" t="s">
        <v>3416</v>
      </c>
    </row>
    <row r="1640" spans="3:3">
      <c r="C1640" s="16" t="s">
        <v>3417</v>
      </c>
    </row>
    <row r="1641" spans="3:3">
      <c r="C1641" s="16" t="s">
        <v>3418</v>
      </c>
    </row>
    <row r="1642" spans="3:3">
      <c r="C1642" s="16" t="s">
        <v>3419</v>
      </c>
    </row>
    <row r="1643" spans="3:3">
      <c r="C1643" s="16" t="s">
        <v>3420</v>
      </c>
    </row>
    <row r="1644" spans="3:3">
      <c r="C1644" s="16" t="s">
        <v>3421</v>
      </c>
    </row>
    <row r="1645" spans="3:3">
      <c r="C1645" s="16" t="s">
        <v>3422</v>
      </c>
    </row>
    <row r="1646" spans="3:3">
      <c r="C1646" s="16" t="s">
        <v>3423</v>
      </c>
    </row>
    <row r="1647" spans="3:3">
      <c r="C1647" s="16" t="s">
        <v>3424</v>
      </c>
    </row>
    <row r="1648" spans="3:3">
      <c r="C1648" s="16" t="s">
        <v>3425</v>
      </c>
    </row>
    <row r="1649" spans="3:3">
      <c r="C1649" s="16" t="s">
        <v>3426</v>
      </c>
    </row>
    <row r="1650" spans="3:3">
      <c r="C1650" s="16" t="s">
        <v>3427</v>
      </c>
    </row>
    <row r="1651" spans="3:3">
      <c r="C1651" s="16" t="s">
        <v>3428</v>
      </c>
    </row>
    <row r="1652" spans="3:3">
      <c r="C1652" s="16" t="s">
        <v>3429</v>
      </c>
    </row>
    <row r="1653" spans="3:3">
      <c r="C1653" s="16" t="s">
        <v>3430</v>
      </c>
    </row>
    <row r="1654" spans="3:3">
      <c r="C1654" s="16" t="s">
        <v>3431</v>
      </c>
    </row>
    <row r="1655" spans="3:3">
      <c r="C1655" s="16" t="s">
        <v>3432</v>
      </c>
    </row>
    <row r="1656" spans="3:3">
      <c r="C1656" s="16" t="s">
        <v>3433</v>
      </c>
    </row>
    <row r="1657" spans="3:3">
      <c r="C1657" s="16" t="s">
        <v>3434</v>
      </c>
    </row>
    <row r="1658" spans="3:3">
      <c r="C1658" s="16" t="s">
        <v>3435</v>
      </c>
    </row>
    <row r="1659" spans="3:3">
      <c r="C1659" s="16" t="s">
        <v>3436</v>
      </c>
    </row>
    <row r="1660" spans="3:3">
      <c r="C1660" s="16" t="s">
        <v>3437</v>
      </c>
    </row>
    <row r="1661" spans="3:3">
      <c r="C1661" s="16" t="s">
        <v>3438</v>
      </c>
    </row>
    <row r="1662" spans="3:3">
      <c r="C1662" s="16" t="s">
        <v>3439</v>
      </c>
    </row>
    <row r="1663" spans="3:3">
      <c r="C1663" s="16" t="s">
        <v>3440</v>
      </c>
    </row>
    <row r="1664" spans="3:3">
      <c r="C1664" s="16" t="s">
        <v>3441</v>
      </c>
    </row>
    <row r="1665" spans="2:3">
      <c r="C1665" s="16" t="s">
        <v>3442</v>
      </c>
    </row>
    <row r="1666" spans="2:3">
      <c r="C1666" s="16" t="s">
        <v>3443</v>
      </c>
    </row>
    <row r="1667" spans="2:3">
      <c r="C1667" s="16" t="s">
        <v>3444</v>
      </c>
    </row>
    <row r="1668" spans="2:3">
      <c r="C1668" s="16" t="s">
        <v>3445</v>
      </c>
    </row>
    <row r="1669" spans="2:3">
      <c r="C1669" s="16" t="s">
        <v>3446</v>
      </c>
    </row>
    <row r="1670" spans="2:3">
      <c r="C1670" s="16" t="s">
        <v>3447</v>
      </c>
    </row>
    <row r="1671" spans="2:3">
      <c r="C1671" s="16" t="s">
        <v>3448</v>
      </c>
    </row>
    <row r="1672" spans="2:3">
      <c r="C1672" s="16" t="s">
        <v>2008</v>
      </c>
    </row>
    <row r="1673" spans="2:3">
      <c r="C1673" s="16" t="s">
        <v>3449</v>
      </c>
    </row>
    <row r="1674" spans="2:3">
      <c r="C1674" s="16" t="s">
        <v>3450</v>
      </c>
    </row>
    <row r="1675" spans="2:3">
      <c r="C1675" s="16" t="s">
        <v>3451</v>
      </c>
    </row>
    <row r="1677" spans="2:3">
      <c r="B1677" s="4" t="s">
        <v>3452</v>
      </c>
    </row>
    <row r="1678" spans="2:3">
      <c r="C1678" s="16" t="s">
        <v>3453</v>
      </c>
    </row>
    <row r="1679" spans="2:3">
      <c r="C1679" s="16" t="s">
        <v>3454</v>
      </c>
    </row>
    <row r="1680" spans="2:3">
      <c r="C1680" s="16" t="s">
        <v>3455</v>
      </c>
    </row>
    <row r="1681" spans="3:3">
      <c r="C1681" s="16" t="s">
        <v>3456</v>
      </c>
    </row>
    <row r="1682" spans="3:3">
      <c r="C1682" s="16" t="s">
        <v>3457</v>
      </c>
    </row>
    <row r="1683" spans="3:3">
      <c r="C1683" s="16" t="s">
        <v>3458</v>
      </c>
    </row>
    <row r="1684" spans="3:3">
      <c r="C1684" s="16" t="s">
        <v>2008</v>
      </c>
    </row>
    <row r="1685" spans="3:3">
      <c r="C1685" s="16" t="s">
        <v>3459</v>
      </c>
    </row>
    <row r="1686" spans="3:3">
      <c r="C1686" s="16" t="s">
        <v>3460</v>
      </c>
    </row>
    <row r="1687" spans="3:3">
      <c r="C1687" s="16" t="s">
        <v>3461</v>
      </c>
    </row>
    <row r="1688" spans="3:3">
      <c r="C1688" s="16" t="s">
        <v>3462</v>
      </c>
    </row>
    <row r="1689" spans="3:3">
      <c r="C1689" s="16" t="s">
        <v>3463</v>
      </c>
    </row>
    <row r="1690" spans="3:3">
      <c r="C1690" s="16" t="s">
        <v>3464</v>
      </c>
    </row>
    <row r="1691" spans="3:3">
      <c r="C1691" s="16" t="s">
        <v>3465</v>
      </c>
    </row>
    <row r="1692" spans="3:3">
      <c r="C1692" s="16" t="s">
        <v>3466</v>
      </c>
    </row>
    <row r="1693" spans="3:3">
      <c r="C1693" s="16" t="s">
        <v>3467</v>
      </c>
    </row>
    <row r="1694" spans="3:3">
      <c r="C1694" s="16" t="s">
        <v>3468</v>
      </c>
    </row>
    <row r="1695" spans="3:3">
      <c r="C1695" s="16" t="s">
        <v>3469</v>
      </c>
    </row>
    <row r="1696" spans="3:3">
      <c r="C1696" s="16" t="s">
        <v>3470</v>
      </c>
    </row>
    <row r="1697" spans="3:3">
      <c r="C1697" s="16" t="s">
        <v>3471</v>
      </c>
    </row>
    <row r="1698" spans="3:3">
      <c r="C1698" s="16" t="s">
        <v>3472</v>
      </c>
    </row>
    <row r="1699" spans="3:3">
      <c r="C1699" s="16" t="s">
        <v>3473</v>
      </c>
    </row>
    <row r="1700" spans="3:3">
      <c r="C1700" s="16" t="s">
        <v>3474</v>
      </c>
    </row>
    <row r="1701" spans="3:3">
      <c r="C1701" s="16" t="s">
        <v>3475</v>
      </c>
    </row>
    <row r="1702" spans="3:3">
      <c r="C1702" s="16" t="s">
        <v>3476</v>
      </c>
    </row>
    <row r="1703" spans="3:3">
      <c r="C1703" s="16" t="s">
        <v>3477</v>
      </c>
    </row>
    <row r="1704" spans="3:3">
      <c r="C1704" s="16" t="s">
        <v>3478</v>
      </c>
    </row>
    <row r="1705" spans="3:3">
      <c r="C1705" s="16" t="s">
        <v>3479</v>
      </c>
    </row>
    <row r="1706" spans="3:3">
      <c r="C1706" s="16" t="s">
        <v>3480</v>
      </c>
    </row>
    <row r="1707" spans="3:3">
      <c r="C1707" s="16" t="s">
        <v>3481</v>
      </c>
    </row>
    <row r="1708" spans="3:3">
      <c r="C1708" s="16" t="s">
        <v>3482</v>
      </c>
    </row>
    <row r="1709" spans="3:3">
      <c r="C1709" s="16" t="s">
        <v>3483</v>
      </c>
    </row>
    <row r="1710" spans="3:3">
      <c r="C1710" s="16" t="s">
        <v>3484</v>
      </c>
    </row>
    <row r="1711" spans="3:3">
      <c r="C1711" s="16" t="s">
        <v>3485</v>
      </c>
    </row>
    <row r="1712" spans="3:3">
      <c r="C1712" s="16" t="s">
        <v>3486</v>
      </c>
    </row>
    <row r="1713" spans="3:3">
      <c r="C1713" s="16" t="s">
        <v>3487</v>
      </c>
    </row>
    <row r="1714" spans="3:3">
      <c r="C1714" s="16" t="s">
        <v>3488</v>
      </c>
    </row>
    <row r="1715" spans="3:3">
      <c r="C1715" s="16" t="s">
        <v>3489</v>
      </c>
    </row>
    <row r="1716" spans="3:3">
      <c r="C1716" s="16" t="s">
        <v>3490</v>
      </c>
    </row>
    <row r="1717" spans="3:3">
      <c r="C1717" s="16" t="s">
        <v>3491</v>
      </c>
    </row>
    <row r="1718" spans="3:3">
      <c r="C1718" s="16" t="s">
        <v>3492</v>
      </c>
    </row>
    <row r="1719" spans="3:3">
      <c r="C1719" s="16" t="s">
        <v>3493</v>
      </c>
    </row>
    <row r="1720" spans="3:3">
      <c r="C1720" s="16" t="s">
        <v>3494</v>
      </c>
    </row>
    <row r="1721" spans="3:3">
      <c r="C1721" s="16" t="s">
        <v>3495</v>
      </c>
    </row>
    <row r="1722" spans="3:3">
      <c r="C1722" s="16" t="s">
        <v>3496</v>
      </c>
    </row>
    <row r="1723" spans="3:3">
      <c r="C1723" s="16" t="s">
        <v>3497</v>
      </c>
    </row>
    <row r="1724" spans="3:3">
      <c r="C1724" s="16" t="s">
        <v>3498</v>
      </c>
    </row>
    <row r="1725" spans="3:3">
      <c r="C1725" s="16" t="s">
        <v>2008</v>
      </c>
    </row>
    <row r="1726" spans="3:3">
      <c r="C1726" s="16" t="s">
        <v>3499</v>
      </c>
    </row>
    <row r="1727" spans="3:3">
      <c r="C1727" s="16" t="s">
        <v>3500</v>
      </c>
    </row>
    <row r="1728" spans="3:3">
      <c r="C1728" s="16" t="s">
        <v>3501</v>
      </c>
    </row>
    <row r="1729" spans="3:3">
      <c r="C1729" s="16" t="s">
        <v>3502</v>
      </c>
    </row>
    <row r="1730" spans="3:3">
      <c r="C1730" s="16" t="s">
        <v>3503</v>
      </c>
    </row>
    <row r="1731" spans="3:3">
      <c r="C1731" s="16" t="s">
        <v>3504</v>
      </c>
    </row>
    <row r="1732" spans="3:3">
      <c r="C1732" s="16" t="s">
        <v>3505</v>
      </c>
    </row>
    <row r="1733" spans="3:3">
      <c r="C1733" s="16" t="s">
        <v>3506</v>
      </c>
    </row>
    <row r="1734" spans="3:3">
      <c r="C1734" s="16" t="s">
        <v>3507</v>
      </c>
    </row>
    <row r="1735" spans="3:3">
      <c r="C1735" s="16" t="s">
        <v>3508</v>
      </c>
    </row>
    <row r="1736" spans="3:3">
      <c r="C1736" s="16" t="s">
        <v>3509</v>
      </c>
    </row>
    <row r="1737" spans="3:3">
      <c r="C1737" s="16" t="s">
        <v>3510</v>
      </c>
    </row>
    <row r="1738" spans="3:3">
      <c r="C1738" s="16" t="s">
        <v>3511</v>
      </c>
    </row>
    <row r="1739" spans="3:3">
      <c r="C1739" s="16" t="s">
        <v>3512</v>
      </c>
    </row>
    <row r="1740" spans="3:3">
      <c r="C1740" s="16" t="s">
        <v>3513</v>
      </c>
    </row>
    <row r="1741" spans="3:3">
      <c r="C1741" s="16" t="s">
        <v>3514</v>
      </c>
    </row>
    <row r="1742" spans="3:3">
      <c r="C1742" s="16" t="s">
        <v>3515</v>
      </c>
    </row>
    <row r="1743" spans="3:3">
      <c r="C1743" s="16" t="s">
        <v>3516</v>
      </c>
    </row>
    <row r="1744" spans="3:3">
      <c r="C1744" s="16" t="s">
        <v>3517</v>
      </c>
    </row>
    <row r="1745" spans="3:3">
      <c r="C1745" s="16" t="s">
        <v>3518</v>
      </c>
    </row>
    <row r="1746" spans="3:3">
      <c r="C1746" s="16" t="s">
        <v>3519</v>
      </c>
    </row>
    <row r="1747" spans="3:3">
      <c r="C1747" s="16" t="s">
        <v>3520</v>
      </c>
    </row>
    <row r="1748" spans="3:3">
      <c r="C1748" s="16" t="s">
        <v>3521</v>
      </c>
    </row>
    <row r="1749" spans="3:3">
      <c r="C1749" s="16" t="s">
        <v>3522</v>
      </c>
    </row>
    <row r="1750" spans="3:3">
      <c r="C1750" s="16" t="s">
        <v>3523</v>
      </c>
    </row>
    <row r="1751" spans="3:3">
      <c r="C1751" s="16" t="s">
        <v>3524</v>
      </c>
    </row>
    <row r="1752" spans="3:3">
      <c r="C1752" s="16" t="s">
        <v>3525</v>
      </c>
    </row>
    <row r="1753" spans="3:3">
      <c r="C1753" s="16" t="s">
        <v>3526</v>
      </c>
    </row>
    <row r="1754" spans="3:3">
      <c r="C1754" s="16" t="s">
        <v>3527</v>
      </c>
    </row>
    <row r="1755" spans="3:3">
      <c r="C1755" s="16" t="s">
        <v>3528</v>
      </c>
    </row>
    <row r="1756" spans="3:3">
      <c r="C1756" s="16" t="s">
        <v>3529</v>
      </c>
    </row>
    <row r="1757" spans="3:3">
      <c r="C1757" s="16" t="s">
        <v>3530</v>
      </c>
    </row>
    <row r="1758" spans="3:3">
      <c r="C1758" s="16" t="s">
        <v>3531</v>
      </c>
    </row>
    <row r="1759" spans="3:3">
      <c r="C1759" s="16" t="s">
        <v>3532</v>
      </c>
    </row>
    <row r="1760" spans="3:3">
      <c r="C1760" s="16" t="s">
        <v>3533</v>
      </c>
    </row>
    <row r="1761" spans="3:3">
      <c r="C1761" s="16" t="s">
        <v>3534</v>
      </c>
    </row>
    <row r="1762" spans="3:3">
      <c r="C1762" s="16" t="s">
        <v>3535</v>
      </c>
    </row>
    <row r="1763" spans="3:3">
      <c r="C1763" s="16" t="s">
        <v>3536</v>
      </c>
    </row>
    <row r="1764" spans="3:3">
      <c r="C1764" s="16" t="s">
        <v>3537</v>
      </c>
    </row>
    <row r="1765" spans="3:3">
      <c r="C1765" s="16" t="s">
        <v>3538</v>
      </c>
    </row>
    <row r="1766" spans="3:3">
      <c r="C1766" s="16" t="s">
        <v>3539</v>
      </c>
    </row>
    <row r="1767" spans="3:3">
      <c r="C1767" s="16" t="s">
        <v>3540</v>
      </c>
    </row>
    <row r="1768" spans="3:3">
      <c r="C1768" s="16" t="s">
        <v>3541</v>
      </c>
    </row>
    <row r="1769" spans="3:3">
      <c r="C1769" s="16" t="s">
        <v>3542</v>
      </c>
    </row>
    <row r="1770" spans="3:3">
      <c r="C1770" s="16" t="s">
        <v>3543</v>
      </c>
    </row>
    <row r="1771" spans="3:3">
      <c r="C1771" s="16" t="s">
        <v>3544</v>
      </c>
    </row>
    <row r="1772" spans="3:3">
      <c r="C1772" s="16" t="s">
        <v>3545</v>
      </c>
    </row>
    <row r="1773" spans="3:3">
      <c r="C1773" s="16" t="s">
        <v>3546</v>
      </c>
    </row>
    <row r="1774" spans="3:3">
      <c r="C1774" s="16" t="s">
        <v>3547</v>
      </c>
    </row>
    <row r="1775" spans="3:3">
      <c r="C1775" s="16" t="s">
        <v>3548</v>
      </c>
    </row>
    <row r="1776" spans="3:3">
      <c r="C1776" s="16" t="s">
        <v>3549</v>
      </c>
    </row>
    <row r="1777" spans="3:3">
      <c r="C1777" s="16" t="s">
        <v>3550</v>
      </c>
    </row>
    <row r="1778" spans="3:3">
      <c r="C1778" s="16" t="s">
        <v>3551</v>
      </c>
    </row>
    <row r="1779" spans="3:3">
      <c r="C1779" s="16" t="s">
        <v>3552</v>
      </c>
    </row>
    <row r="1780" spans="3:3">
      <c r="C1780" s="16" t="s">
        <v>3553</v>
      </c>
    </row>
    <row r="1781" spans="3:3">
      <c r="C1781" s="16" t="s">
        <v>3554</v>
      </c>
    </row>
    <row r="1782" spans="3:3">
      <c r="C1782" s="16" t="s">
        <v>3555</v>
      </c>
    </row>
    <row r="1783" spans="3:3">
      <c r="C1783" s="16" t="s">
        <v>3556</v>
      </c>
    </row>
    <row r="1784" spans="3:3">
      <c r="C1784" s="16" t="s">
        <v>3557</v>
      </c>
    </row>
    <row r="1785" spans="3:3">
      <c r="C1785" s="16" t="s">
        <v>3558</v>
      </c>
    </row>
    <row r="1786" spans="3:3">
      <c r="C1786" s="16" t="s">
        <v>3559</v>
      </c>
    </row>
    <row r="1787" spans="3:3">
      <c r="C1787" s="16" t="s">
        <v>3560</v>
      </c>
    </row>
    <row r="1788" spans="3:3">
      <c r="C1788" s="16" t="s">
        <v>3561</v>
      </c>
    </row>
    <row r="1789" spans="3:3">
      <c r="C1789" s="16" t="s">
        <v>3562</v>
      </c>
    </row>
    <row r="1790" spans="3:3">
      <c r="C1790" s="16" t="s">
        <v>3563</v>
      </c>
    </row>
    <row r="1791" spans="3:3">
      <c r="C1791" s="16" t="s">
        <v>3564</v>
      </c>
    </row>
    <row r="1792" spans="3:3">
      <c r="C1792" s="16" t="s">
        <v>3565</v>
      </c>
    </row>
    <row r="1793" spans="3:3">
      <c r="C1793" s="16" t="s">
        <v>3566</v>
      </c>
    </row>
    <row r="1794" spans="3:3">
      <c r="C1794" s="16" t="s">
        <v>3567</v>
      </c>
    </row>
    <row r="1795" spans="3:3">
      <c r="C1795" s="16" t="s">
        <v>3568</v>
      </c>
    </row>
    <row r="1796" spans="3:3">
      <c r="C1796" s="16" t="s">
        <v>3569</v>
      </c>
    </row>
    <row r="1797" spans="3:3">
      <c r="C1797" s="16" t="s">
        <v>3570</v>
      </c>
    </row>
    <row r="1798" spans="3:3">
      <c r="C1798" s="16" t="s">
        <v>3571</v>
      </c>
    </row>
    <row r="1799" spans="3:3">
      <c r="C1799" s="16" t="s">
        <v>3572</v>
      </c>
    </row>
    <row r="1800" spans="3:3">
      <c r="C1800" s="16" t="s">
        <v>3573</v>
      </c>
    </row>
    <row r="1801" spans="3:3">
      <c r="C1801" s="16" t="s">
        <v>3574</v>
      </c>
    </row>
    <row r="1802" spans="3:3">
      <c r="C1802" s="16" t="s">
        <v>3575</v>
      </c>
    </row>
    <row r="1803" spans="3:3">
      <c r="C1803" s="16" t="s">
        <v>3576</v>
      </c>
    </row>
    <row r="1804" spans="3:3">
      <c r="C1804" s="16" t="s">
        <v>3577</v>
      </c>
    </row>
    <row r="1805" spans="3:3">
      <c r="C1805" s="16" t="s">
        <v>3578</v>
      </c>
    </row>
    <row r="1806" spans="3:3">
      <c r="C1806" s="16" t="s">
        <v>3579</v>
      </c>
    </row>
    <row r="1807" spans="3:3">
      <c r="C1807" s="16" t="s">
        <v>3580</v>
      </c>
    </row>
    <row r="1808" spans="3:3">
      <c r="C1808" s="16" t="s">
        <v>3581</v>
      </c>
    </row>
    <row r="1809" spans="3:3">
      <c r="C1809" s="16" t="s">
        <v>3582</v>
      </c>
    </row>
    <row r="1810" spans="3:3">
      <c r="C1810" s="16" t="s">
        <v>3583</v>
      </c>
    </row>
    <row r="1811" spans="3:3">
      <c r="C1811" s="16" t="s">
        <v>3584</v>
      </c>
    </row>
    <row r="1812" spans="3:3">
      <c r="C1812" s="16" t="s">
        <v>3585</v>
      </c>
    </row>
    <row r="1813" spans="3:3">
      <c r="C1813" s="16" t="s">
        <v>3586</v>
      </c>
    </row>
    <row r="1814" spans="3:3">
      <c r="C1814" s="16" t="s">
        <v>3587</v>
      </c>
    </row>
    <row r="1815" spans="3:3">
      <c r="C1815" s="16" t="s">
        <v>3588</v>
      </c>
    </row>
    <row r="1816" spans="3:3">
      <c r="C1816" s="16" t="s">
        <v>3589</v>
      </c>
    </row>
    <row r="1817" spans="3:3">
      <c r="C1817" s="16" t="s">
        <v>3590</v>
      </c>
    </row>
    <row r="1818" spans="3:3">
      <c r="C1818" s="16" t="s">
        <v>3591</v>
      </c>
    </row>
    <row r="1819" spans="3:3">
      <c r="C1819" s="16" t="s">
        <v>3592</v>
      </c>
    </row>
    <row r="1820" spans="3:3">
      <c r="C1820" s="16" t="s">
        <v>3593</v>
      </c>
    </row>
    <row r="1821" spans="3:3">
      <c r="C1821" s="16" t="s">
        <v>3594</v>
      </c>
    </row>
    <row r="1822" spans="3:3">
      <c r="C1822" s="16" t="s">
        <v>3595</v>
      </c>
    </row>
    <row r="1823" spans="3:3">
      <c r="C1823" s="16" t="s">
        <v>3596</v>
      </c>
    </row>
    <row r="1824" spans="3:3">
      <c r="C1824" s="16" t="s">
        <v>3597</v>
      </c>
    </row>
    <row r="1825" spans="3:3">
      <c r="C1825" s="16" t="s">
        <v>3598</v>
      </c>
    </row>
    <row r="1826" spans="3:3">
      <c r="C1826" s="16" t="s">
        <v>3599</v>
      </c>
    </row>
    <row r="1827" spans="3:3">
      <c r="C1827" s="16" t="s">
        <v>3600</v>
      </c>
    </row>
    <row r="1828" spans="3:3">
      <c r="C1828" s="16" t="s">
        <v>3601</v>
      </c>
    </row>
    <row r="1829" spans="3:3">
      <c r="C1829" s="16" t="s">
        <v>3602</v>
      </c>
    </row>
    <row r="1830" spans="3:3">
      <c r="C1830" s="16" t="s">
        <v>3603</v>
      </c>
    </row>
    <row r="1831" spans="3:3">
      <c r="C1831" s="16" t="s">
        <v>3604</v>
      </c>
    </row>
    <row r="1832" spans="3:3">
      <c r="C1832" s="16" t="s">
        <v>3605</v>
      </c>
    </row>
    <row r="1833" spans="3:3">
      <c r="C1833" s="16" t="s">
        <v>3606</v>
      </c>
    </row>
    <row r="1834" spans="3:3">
      <c r="C1834" s="16" t="s">
        <v>3607</v>
      </c>
    </row>
    <row r="1835" spans="3:3">
      <c r="C1835" s="16" t="s">
        <v>3608</v>
      </c>
    </row>
    <row r="1836" spans="3:3">
      <c r="C1836" s="16" t="s">
        <v>3609</v>
      </c>
    </row>
    <row r="1837" spans="3:3">
      <c r="C1837" s="16" t="s">
        <v>3610</v>
      </c>
    </row>
    <row r="1838" spans="3:3">
      <c r="C1838" s="16" t="s">
        <v>3611</v>
      </c>
    </row>
    <row r="1839" spans="3:3">
      <c r="C1839" s="16" t="s">
        <v>3612</v>
      </c>
    </row>
    <row r="1840" spans="3:3">
      <c r="C1840" s="16" t="s">
        <v>3613</v>
      </c>
    </row>
    <row r="1841" spans="3:3">
      <c r="C1841" s="16" t="s">
        <v>3614</v>
      </c>
    </row>
    <row r="1842" spans="3:3">
      <c r="C1842" s="16" t="s">
        <v>3615</v>
      </c>
    </row>
    <row r="1843" spans="3:3">
      <c r="C1843" s="16" t="s">
        <v>3616</v>
      </c>
    </row>
    <row r="1844" spans="3:3">
      <c r="C1844" s="16" t="s">
        <v>3617</v>
      </c>
    </row>
    <row r="1845" spans="3:3">
      <c r="C1845" s="16" t="s">
        <v>3618</v>
      </c>
    </row>
    <row r="1846" spans="3:3">
      <c r="C1846" s="16" t="s">
        <v>3619</v>
      </c>
    </row>
    <row r="1847" spans="3:3">
      <c r="C1847" s="16" t="s">
        <v>3620</v>
      </c>
    </row>
    <row r="1848" spans="3:3">
      <c r="C1848" s="16" t="s">
        <v>3621</v>
      </c>
    </row>
    <row r="1849" spans="3:3">
      <c r="C1849" s="16" t="s">
        <v>3622</v>
      </c>
    </row>
    <row r="1850" spans="3:3">
      <c r="C1850" s="16" t="s">
        <v>3623</v>
      </c>
    </row>
    <row r="1851" spans="3:3">
      <c r="C1851" s="16" t="s">
        <v>3624</v>
      </c>
    </row>
    <row r="1852" spans="3:3">
      <c r="C1852" s="16" t="s">
        <v>3625</v>
      </c>
    </row>
    <row r="1853" spans="3:3">
      <c r="C1853" s="16" t="s">
        <v>3626</v>
      </c>
    </row>
    <row r="1854" spans="3:3">
      <c r="C1854" s="16" t="s">
        <v>3627</v>
      </c>
    </row>
    <row r="1855" spans="3:3">
      <c r="C1855" s="16" t="s">
        <v>3628</v>
      </c>
    </row>
    <row r="1856" spans="3:3">
      <c r="C1856" s="16" t="s">
        <v>3629</v>
      </c>
    </row>
    <row r="1857" spans="3:3">
      <c r="C1857" s="16" t="s">
        <v>3630</v>
      </c>
    </row>
    <row r="1858" spans="3:3">
      <c r="C1858" s="16" t="s">
        <v>3631</v>
      </c>
    </row>
    <row r="1859" spans="3:3">
      <c r="C1859" s="16" t="s">
        <v>3632</v>
      </c>
    </row>
    <row r="1860" spans="3:3">
      <c r="C1860" s="16" t="s">
        <v>3633</v>
      </c>
    </row>
    <row r="1861" spans="3:3">
      <c r="C1861" s="16" t="s">
        <v>3634</v>
      </c>
    </row>
    <row r="1862" spans="3:3">
      <c r="C1862" s="16" t="s">
        <v>3635</v>
      </c>
    </row>
    <row r="1863" spans="3:3">
      <c r="C1863" s="16" t="s">
        <v>3636</v>
      </c>
    </row>
    <row r="1864" spans="3:3">
      <c r="C1864" s="16" t="s">
        <v>3637</v>
      </c>
    </row>
    <row r="1865" spans="3:3">
      <c r="C1865" s="16" t="s">
        <v>3638</v>
      </c>
    </row>
    <row r="1866" spans="3:3">
      <c r="C1866" s="16" t="s">
        <v>3639</v>
      </c>
    </row>
    <row r="1867" spans="3:3">
      <c r="C1867" s="16" t="s">
        <v>3640</v>
      </c>
    </row>
    <row r="1868" spans="3:3">
      <c r="C1868" s="16" t="s">
        <v>3641</v>
      </c>
    </row>
    <row r="1869" spans="3:3">
      <c r="C1869" s="16" t="s">
        <v>3642</v>
      </c>
    </row>
    <row r="1870" spans="3:3">
      <c r="C1870" s="16" t="s">
        <v>3643</v>
      </c>
    </row>
    <row r="1871" spans="3:3">
      <c r="C1871" s="16" t="s">
        <v>3644</v>
      </c>
    </row>
    <row r="1872" spans="3:3">
      <c r="C1872" s="16" t="s">
        <v>3645</v>
      </c>
    </row>
    <row r="1873" spans="3:3">
      <c r="C1873" s="16" t="s">
        <v>3646</v>
      </c>
    </row>
    <row r="1874" spans="3:3">
      <c r="C1874" s="16" t="s">
        <v>3647</v>
      </c>
    </row>
    <row r="1875" spans="3:3">
      <c r="C1875" s="16" t="s">
        <v>3648</v>
      </c>
    </row>
    <row r="1876" spans="3:3">
      <c r="C1876" s="16" t="s">
        <v>3649</v>
      </c>
    </row>
    <row r="1877" spans="3:3">
      <c r="C1877" s="16" t="s">
        <v>3650</v>
      </c>
    </row>
    <row r="1878" spans="3:3">
      <c r="C1878" s="16" t="s">
        <v>3651</v>
      </c>
    </row>
    <row r="1879" spans="3:3">
      <c r="C1879" s="16" t="s">
        <v>3652</v>
      </c>
    </row>
    <row r="1880" spans="3:3">
      <c r="C1880" s="16" t="s">
        <v>3653</v>
      </c>
    </row>
    <row r="1881" spans="3:3">
      <c r="C1881" s="16" t="s">
        <v>3654</v>
      </c>
    </row>
    <row r="1882" spans="3:3">
      <c r="C1882" s="16" t="s">
        <v>3655</v>
      </c>
    </row>
    <row r="1883" spans="3:3">
      <c r="C1883" s="16" t="s">
        <v>3656</v>
      </c>
    </row>
    <row r="1884" spans="3:3">
      <c r="C1884" s="16" t="s">
        <v>3657</v>
      </c>
    </row>
    <row r="1885" spans="3:3">
      <c r="C1885" s="16" t="s">
        <v>3658</v>
      </c>
    </row>
    <row r="1886" spans="3:3">
      <c r="C1886" s="16" t="s">
        <v>3659</v>
      </c>
    </row>
    <row r="1887" spans="3:3">
      <c r="C1887" s="16" t="s">
        <v>3660</v>
      </c>
    </row>
    <row r="1888" spans="3:3">
      <c r="C1888" s="16" t="s">
        <v>3661</v>
      </c>
    </row>
    <row r="1889" spans="3:3">
      <c r="C1889" s="16" t="s">
        <v>3662</v>
      </c>
    </row>
    <row r="1890" spans="3:3">
      <c r="C1890" s="16" t="s">
        <v>3663</v>
      </c>
    </row>
    <row r="1891" spans="3:3">
      <c r="C1891" s="16" t="s">
        <v>3664</v>
      </c>
    </row>
    <row r="1892" spans="3:3">
      <c r="C1892" s="16" t="s">
        <v>3665</v>
      </c>
    </row>
    <row r="1893" spans="3:3">
      <c r="C1893" s="16" t="s">
        <v>3666</v>
      </c>
    </row>
    <row r="1894" spans="3:3">
      <c r="C1894" s="16" t="s">
        <v>3667</v>
      </c>
    </row>
    <row r="1895" spans="3:3">
      <c r="C1895" s="16" t="s">
        <v>3668</v>
      </c>
    </row>
    <row r="1896" spans="3:3">
      <c r="C1896" s="16" t="s">
        <v>3669</v>
      </c>
    </row>
    <row r="1897" spans="3:3">
      <c r="C1897" s="16" t="s">
        <v>3670</v>
      </c>
    </row>
    <row r="1898" spans="3:3">
      <c r="C1898" s="16" t="s">
        <v>3671</v>
      </c>
    </row>
    <row r="1899" spans="3:3">
      <c r="C1899" s="16" t="s">
        <v>3672</v>
      </c>
    </row>
    <row r="1900" spans="3:3">
      <c r="C1900" s="16" t="s">
        <v>3673</v>
      </c>
    </row>
    <row r="1901" spans="3:3">
      <c r="C1901" s="16" t="s">
        <v>3674</v>
      </c>
    </row>
    <row r="1902" spans="3:3">
      <c r="C1902" s="16" t="s">
        <v>3675</v>
      </c>
    </row>
    <row r="1903" spans="3:3">
      <c r="C1903" s="16" t="s">
        <v>3676</v>
      </c>
    </row>
    <row r="1904" spans="3:3">
      <c r="C1904" s="16" t="s">
        <v>3677</v>
      </c>
    </row>
    <row r="1905" spans="3:3">
      <c r="C1905" s="16" t="s">
        <v>3678</v>
      </c>
    </row>
    <row r="1906" spans="3:3">
      <c r="C1906" s="16" t="s">
        <v>3679</v>
      </c>
    </row>
    <row r="1907" spans="3:3">
      <c r="C1907" s="16" t="s">
        <v>3680</v>
      </c>
    </row>
    <row r="1908" spans="3:3">
      <c r="C1908" s="16" t="s">
        <v>3681</v>
      </c>
    </row>
    <row r="1909" spans="3:3">
      <c r="C1909" s="16" t="s">
        <v>3682</v>
      </c>
    </row>
    <row r="1910" spans="3:3">
      <c r="C1910" s="16" t="s">
        <v>3683</v>
      </c>
    </row>
    <row r="1911" spans="3:3">
      <c r="C1911" s="16" t="s">
        <v>3684</v>
      </c>
    </row>
    <row r="1912" spans="3:3">
      <c r="C1912" s="16" t="s">
        <v>3685</v>
      </c>
    </row>
    <row r="1913" spans="3:3">
      <c r="C1913" s="16" t="s">
        <v>3686</v>
      </c>
    </row>
    <row r="1914" spans="3:3">
      <c r="C1914" s="16" t="s">
        <v>3687</v>
      </c>
    </row>
    <row r="1915" spans="3:3">
      <c r="C1915" s="16" t="s">
        <v>3688</v>
      </c>
    </row>
    <row r="1916" spans="3:3">
      <c r="C1916" s="16" t="s">
        <v>3689</v>
      </c>
    </row>
    <row r="1917" spans="3:3">
      <c r="C1917" s="16" t="s">
        <v>3690</v>
      </c>
    </row>
    <row r="1918" spans="3:3">
      <c r="C1918" s="16" t="s">
        <v>3691</v>
      </c>
    </row>
    <row r="1919" spans="3:3">
      <c r="C1919" s="16" t="s">
        <v>3692</v>
      </c>
    </row>
    <row r="1920" spans="3:3">
      <c r="C1920" s="16" t="s">
        <v>3693</v>
      </c>
    </row>
    <row r="1921" spans="3:3">
      <c r="C1921" s="16" t="s">
        <v>3694</v>
      </c>
    </row>
    <row r="1922" spans="3:3">
      <c r="C1922" s="16" t="s">
        <v>3695</v>
      </c>
    </row>
    <row r="1923" spans="3:3">
      <c r="C1923" s="16" t="s">
        <v>3696</v>
      </c>
    </row>
    <row r="1924" spans="3:3">
      <c r="C1924" s="16" t="s">
        <v>3697</v>
      </c>
    </row>
    <row r="1925" spans="3:3">
      <c r="C1925" s="16" t="s">
        <v>3698</v>
      </c>
    </row>
    <row r="1926" spans="3:3">
      <c r="C1926" s="16" t="s">
        <v>3699</v>
      </c>
    </row>
    <row r="1927" spans="3:3">
      <c r="C1927" s="16" t="s">
        <v>3700</v>
      </c>
    </row>
    <row r="1928" spans="3:3">
      <c r="C1928" s="16" t="s">
        <v>3701</v>
      </c>
    </row>
    <row r="1929" spans="3:3">
      <c r="C1929" s="16" t="s">
        <v>3702</v>
      </c>
    </row>
    <row r="1930" spans="3:3">
      <c r="C1930" s="16" t="s">
        <v>3703</v>
      </c>
    </row>
    <row r="1931" spans="3:3">
      <c r="C1931" s="16" t="s">
        <v>3704</v>
      </c>
    </row>
    <row r="1932" spans="3:3">
      <c r="C1932" s="16" t="s">
        <v>3705</v>
      </c>
    </row>
    <row r="1933" spans="3:3">
      <c r="C1933" s="16" t="s">
        <v>3706</v>
      </c>
    </row>
    <row r="1934" spans="3:3">
      <c r="C1934" s="16" t="s">
        <v>3707</v>
      </c>
    </row>
    <row r="1935" spans="3:3">
      <c r="C1935" s="16" t="s">
        <v>3708</v>
      </c>
    </row>
    <row r="1936" spans="3:3">
      <c r="C1936" s="16" t="s">
        <v>3709</v>
      </c>
    </row>
    <row r="1937" spans="3:3">
      <c r="C1937" s="16" t="s">
        <v>3710</v>
      </c>
    </row>
    <row r="1938" spans="3:3">
      <c r="C1938" s="16" t="s">
        <v>3711</v>
      </c>
    </row>
    <row r="1939" spans="3:3">
      <c r="C1939" s="16" t="s">
        <v>3712</v>
      </c>
    </row>
    <row r="1940" spans="3:3">
      <c r="C1940" s="16" t="s">
        <v>3713</v>
      </c>
    </row>
    <row r="1941" spans="3:3">
      <c r="C1941" s="16" t="s">
        <v>3714</v>
      </c>
    </row>
    <row r="1942" spans="3:3">
      <c r="C1942" s="16" t="s">
        <v>3715</v>
      </c>
    </row>
    <row r="1943" spans="3:3">
      <c r="C1943" s="16" t="s">
        <v>3716</v>
      </c>
    </row>
    <row r="1944" spans="3:3">
      <c r="C1944" s="16" t="s">
        <v>3717</v>
      </c>
    </row>
    <row r="1945" spans="3:3">
      <c r="C1945" s="16" t="s">
        <v>3718</v>
      </c>
    </row>
    <row r="1946" spans="3:3">
      <c r="C1946" s="16" t="s">
        <v>3719</v>
      </c>
    </row>
    <row r="1947" spans="3:3">
      <c r="C1947" s="16" t="s">
        <v>3720</v>
      </c>
    </row>
    <row r="1948" spans="3:3">
      <c r="C1948" s="16" t="s">
        <v>3721</v>
      </c>
    </row>
    <row r="1949" spans="3:3">
      <c r="C1949" s="16" t="s">
        <v>3722</v>
      </c>
    </row>
    <row r="1950" spans="3:3">
      <c r="C1950" s="16" t="s">
        <v>3723</v>
      </c>
    </row>
    <row r="1951" spans="3:3">
      <c r="C1951" s="16" t="s">
        <v>2008</v>
      </c>
    </row>
    <row r="1952" spans="3:3">
      <c r="C1952" s="16" t="s">
        <v>3724</v>
      </c>
    </row>
    <row r="1953" spans="3:3">
      <c r="C1953" s="16" t="s">
        <v>3725</v>
      </c>
    </row>
    <row r="1954" spans="3:3">
      <c r="C1954" s="16" t="s">
        <v>3726</v>
      </c>
    </row>
    <row r="1955" spans="3:3">
      <c r="C1955" s="16" t="s">
        <v>3727</v>
      </c>
    </row>
    <row r="1956" spans="3:3">
      <c r="C1956" s="16" t="s">
        <v>3728</v>
      </c>
    </row>
    <row r="1957" spans="3:3">
      <c r="C1957" s="16" t="s">
        <v>3729</v>
      </c>
    </row>
    <row r="1958" spans="3:3">
      <c r="C1958" s="16" t="s">
        <v>3730</v>
      </c>
    </row>
    <row r="1959" spans="3:3">
      <c r="C1959" s="16" t="s">
        <v>3731</v>
      </c>
    </row>
    <row r="1960" spans="3:3">
      <c r="C1960" s="16" t="s">
        <v>3732</v>
      </c>
    </row>
    <row r="1961" spans="3:3">
      <c r="C1961" s="16" t="s">
        <v>3733</v>
      </c>
    </row>
    <row r="1962" spans="3:3">
      <c r="C1962" s="16" t="s">
        <v>3734</v>
      </c>
    </row>
    <row r="1963" spans="3:3">
      <c r="C1963" s="16" t="s">
        <v>3735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7"/>
  <sheetViews>
    <sheetView workbookViewId="0">
      <pane ySplit="11" topLeftCell="A12" activePane="bottomLeft" state="frozen"/>
      <selection pane="bottomLeft"/>
    </sheetView>
  </sheetViews>
  <sheetFormatPr defaultRowHeight="15"/>
  <cols>
    <col min="1" max="1" width="60.7109375" customWidth="1"/>
    <col min="2" max="2" width="86.7109375" customWidth="1"/>
  </cols>
  <sheetData>
    <row r="1" spans="1:3">
      <c r="B1" s="1" t="s">
        <v>3736</v>
      </c>
    </row>
    <row r="2" spans="1:3" ht="44" customHeight="1">
      <c r="B2" s="6" t="s">
        <v>3737</v>
      </c>
    </row>
    <row r="4" spans="1:3" ht="34" customHeight="1">
      <c r="A4" s="5" t="s">
        <v>3738</v>
      </c>
      <c r="B4" s="5" t="s">
        <v>3739</v>
      </c>
    </row>
    <row r="5" spans="1:3">
      <c r="B5" s="2" t="s">
        <v>3740</v>
      </c>
      <c r="C5" s="3" t="s">
        <v>3741</v>
      </c>
    </row>
    <row r="6" spans="1:3">
      <c r="B6" s="2" t="s">
        <v>3742</v>
      </c>
      <c r="C6" s="3" t="s">
        <v>3743</v>
      </c>
    </row>
    <row r="7" spans="1:3">
      <c r="B7" s="2" t="s">
        <v>3744</v>
      </c>
      <c r="C7" s="3" t="s">
        <v>3745</v>
      </c>
    </row>
    <row r="8" spans="1:3">
      <c r="B8" s="2" t="s">
        <v>3746</v>
      </c>
      <c r="C8" s="3" t="s">
        <v>3747</v>
      </c>
    </row>
    <row r="10" spans="1:3">
      <c r="B10" s="4" t="s">
        <v>3748</v>
      </c>
    </row>
    <row r="11" spans="1:3" ht="34" customHeight="1">
      <c r="A11" s="5" t="s">
        <v>3749</v>
      </c>
      <c r="B11" s="5" t="s">
        <v>3750</v>
      </c>
    </row>
    <row r="12" spans="1:3" ht="32" customHeight="1">
      <c r="B12" s="3" t="s">
        <v>3751</v>
      </c>
      <c r="C12" s="3" t="s">
        <v>3752</v>
      </c>
    </row>
    <row r="13" spans="1:3" ht="32" customHeight="1">
      <c r="B13" s="3" t="s">
        <v>3753</v>
      </c>
      <c r="C13" s="3" t="s">
        <v>3754</v>
      </c>
    </row>
    <row r="14" spans="1:3" ht="32" customHeight="1">
      <c r="B14" s="3" t="s">
        <v>3755</v>
      </c>
      <c r="C14" s="3" t="s">
        <v>3756</v>
      </c>
    </row>
    <row r="15" spans="1:3" ht="32" customHeight="1">
      <c r="B15" s="3" t="s">
        <v>3757</v>
      </c>
      <c r="C15" s="3" t="s">
        <v>3758</v>
      </c>
    </row>
    <row r="16" spans="1:3" ht="32" customHeight="1">
      <c r="B16" s="3" t="s">
        <v>3759</v>
      </c>
      <c r="C16" s="3" t="s">
        <v>3760</v>
      </c>
    </row>
    <row r="17" spans="2:3" ht="32" customHeight="1">
      <c r="B17" s="3" t="s">
        <v>3761</v>
      </c>
      <c r="C17" s="3" t="s">
        <v>3762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01 Резюме</vt:lpstr>
      <vt:lpstr>02 Реестр идей</vt:lpstr>
      <vt:lpstr>03 Веса</vt:lpstr>
      <vt:lpstr>04 Первичный отсев</vt:lpstr>
      <vt:lpstr>05 Скоринг 3 прохода</vt:lpstr>
      <vt:lpstr>06 Свод и матрица</vt:lpstr>
      <vt:lpstr>06б Пересчёт и ворота</vt:lpstr>
      <vt:lpstr>07 Монте-Карло</vt:lpstr>
      <vt:lpstr>08 Помесячная модель</vt:lpstr>
      <vt:lpstr>09 Распределение NPV</vt:lpstr>
      <vt:lpstr>10 Чувствительность</vt:lpstr>
      <vt:lpstr>11 Критика</vt:lpstr>
      <vt:lpstr>12 Достоверность</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2026-09-13T15:06:42Z</dcterms:created>
  <dcterms:modified xsi:type="dcterms:W3CDTF">2026-09-13T15:06:42Z</dcterms:modified>
</cp:coreProperties>
</file>